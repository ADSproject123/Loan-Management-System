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ving monthly Oct-2022" sheetId="1" r:id="rId4"/>
    <sheet state="visible" name="Saving monthly November-22" sheetId="2" r:id="rId5"/>
    <sheet state="visible" name="Saving monthly December-22" sheetId="3" r:id="rId6"/>
    <sheet state="visible" name="Saving monthly Jan-23" sheetId="4" r:id="rId7"/>
    <sheet state="visible" name="Saving monthly Feb-23" sheetId="5" r:id="rId8"/>
    <sheet state="visible" name="Saving monthly Mar-23" sheetId="6" r:id="rId9"/>
    <sheet state="visible" name="Saving monthly Apr-23" sheetId="7" r:id="rId10"/>
    <sheet state="visible" name="Saving monthly May-23" sheetId="8" r:id="rId11"/>
    <sheet state="visible" name="Saving monthly Jun-23" sheetId="9" r:id="rId12"/>
    <sheet state="visible" name="Saving Monthly Jul-23" sheetId="10" r:id="rId13"/>
    <sheet state="visible" name="Saving Monthly Aug-23" sheetId="11" r:id="rId14"/>
    <sheet state="visible" name="Saving Monthly Sep-23" sheetId="12" r:id="rId15"/>
    <sheet state="visible" name="Saving Monthly Oct-23" sheetId="13" r:id="rId16"/>
    <sheet state="visible" name="Saving Monthly Nov-23" sheetId="14" r:id="rId17"/>
    <sheet state="visible" name="Saving Monthly Dec-23" sheetId="15" r:id="rId18"/>
    <sheet state="visible" name="Saving Monthly Jan-24" sheetId="16" r:id="rId19"/>
    <sheet state="visible" name="Saving Monthly Feb-24" sheetId="17" r:id="rId20"/>
    <sheet state="visible" name="March-24" sheetId="18" r:id="rId21"/>
    <sheet state="visible" name="April-24" sheetId="19" r:id="rId22"/>
    <sheet state="visible" name="May-24" sheetId="20" r:id="rId23"/>
    <sheet state="visible" name="Jun-24" sheetId="21" r:id="rId24"/>
    <sheet state="visible" name="Jul-24" sheetId="22" r:id="rId25"/>
    <sheet state="visible" name="Aug-24" sheetId="23" r:id="rId26"/>
    <sheet state="visible" name="Sep-24" sheetId="24" r:id="rId27"/>
    <sheet state="visible" name="Oct-24" sheetId="25" r:id="rId28"/>
    <sheet state="visible" name="Nov-24" sheetId="26" r:id="rId29"/>
    <sheet state="visible" name="Dec-24" sheetId="27" r:id="rId30"/>
    <sheet state="visible" name="Jan-2025" sheetId="28" r:id="rId31"/>
    <sheet state="visible" name="Feb-2025" sheetId="29" r:id="rId32"/>
    <sheet state="visible" name="Mar-2025 " sheetId="30" r:id="rId33"/>
    <sheet state="visible" name="April-2025" sheetId="31" r:id="rId34"/>
    <sheet state="visible" name="May-2025" sheetId="32" r:id="rId35"/>
    <sheet state="visible" name="Jun-2025" sheetId="33" r:id="rId36"/>
    <sheet state="visible" name="Jul-2025" sheetId="34" r:id="rId37"/>
    <sheet state="visible" name="Aug-2025" sheetId="35" r:id="rId38"/>
    <sheet state="visible" name="Sep-2025" sheetId="36" r:id="rId39"/>
    <sheet state="visible" name="Oct-2025" sheetId="37" r:id="rId40"/>
    <sheet state="visible" name="Nov-2025" sheetId="38" r:id="rId41"/>
    <sheet state="visible" name="Dec-2025" sheetId="39" r:id="rId42"/>
    <sheet state="visible" name="Jan-2026" sheetId="40" r:id="rId43"/>
    <sheet state="visible" name="Feb-2026" sheetId="41" r:id="rId44"/>
    <sheet state="visible" name="Mar-2026" sheetId="42" r:id="rId45"/>
    <sheet state="visible" name="16Mar-20Apr2026" sheetId="43" r:id="rId46"/>
    <sheet state="visible" name="21Apr-25May2026" sheetId="44" r:id="rId47"/>
    <sheet state="visible" name="26May-25Jun2026" sheetId="45" r:id="rId48"/>
    <sheet state="visible" name="26Jun-25Jul2026" sheetId="46" r:id="rId49"/>
  </sheets>
  <definedNames>
    <definedName hidden="1" localSheetId="4" name="_xlnm._FilterDatabase">'Saving monthly Feb-23'!$A$7:$K$28</definedName>
    <definedName hidden="1" localSheetId="15" name="_xlnm._FilterDatabase">'Saving Monthly Jan-24'!$A$6:$L$47</definedName>
    <definedName hidden="1" localSheetId="16" name="_xlnm._FilterDatabase">'Saving Monthly Feb-24'!$A$6:$L$49</definedName>
    <definedName hidden="1" localSheetId="17" name="_xlnm._FilterDatabase">'March-24'!$A$6:$L$51</definedName>
    <definedName hidden="1" localSheetId="18" name="_xlnm._FilterDatabase">'April-24'!$A$6:$L$51</definedName>
    <definedName hidden="1" localSheetId="19" name="_xlnm._FilterDatabase">'May-24'!$A$6:$L$51</definedName>
    <definedName hidden="1" localSheetId="20" name="_xlnm._FilterDatabase">'Jun-24'!$A$6:$L$51</definedName>
    <definedName hidden="1" localSheetId="21" name="_xlnm._FilterDatabase">'Jul-24'!$A$6:$L$51</definedName>
    <definedName hidden="1" localSheetId="22" name="_xlnm._FilterDatabase">'Aug-24'!$A$6:$L$51</definedName>
    <definedName hidden="1" localSheetId="23" name="_xlnm._FilterDatabase">'Sep-24'!$A$6:$L$51</definedName>
    <definedName hidden="1" localSheetId="24" name="_xlnm._FilterDatabase">'Oct-24'!$A$6:$L$52</definedName>
    <definedName hidden="1" localSheetId="25" name="_xlnm._FilterDatabase">'Nov-24'!$A$6:$L$51</definedName>
    <definedName hidden="1" localSheetId="26" name="_xlnm._FilterDatabase">'Dec-24'!$A$6:$L$64</definedName>
    <definedName hidden="1" localSheetId="27" name="_xlnm._FilterDatabase">'Jan-2025'!$A$6:$L$70</definedName>
    <definedName hidden="1" localSheetId="28" name="_xlnm._FilterDatabase">'Feb-2025'!$A$6:$L$67</definedName>
    <definedName hidden="1" localSheetId="29" name="_xlnm._FilterDatabase">'Mar-2025 '!$A$6:$L$67</definedName>
    <definedName hidden="1" localSheetId="30" name="_xlnm._FilterDatabase">'April-2025'!$A$6:$L$69</definedName>
    <definedName hidden="1" localSheetId="31" name="_xlnm._FilterDatabase">'May-2025'!$A$6:$L$70</definedName>
    <definedName hidden="1" localSheetId="32" name="_xlnm._FilterDatabase">'Jun-2025'!$A$6:$L$73</definedName>
    <definedName hidden="1" localSheetId="33" name="_xlnm._FilterDatabase">'Jul-2025'!$A$6:$L$79</definedName>
    <definedName hidden="1" localSheetId="34" name="_xlnm._FilterDatabase">'Aug-2025'!$A$6:$L$81</definedName>
    <definedName hidden="1" localSheetId="35" name="_xlnm._FilterDatabase">'Sep-2025'!$A$6:$L$81</definedName>
    <definedName hidden="1" localSheetId="36" name="_xlnm._FilterDatabase">'Oct-2025'!$A$6:$L$82</definedName>
    <definedName hidden="1" localSheetId="37" name="_xlnm._FilterDatabase">'Nov-2025'!$A$6:$L$82</definedName>
    <definedName hidden="1" localSheetId="38" name="_xlnm._FilterDatabase">'Dec-2025'!$A$6:$L$85</definedName>
    <definedName hidden="1" localSheetId="39" name="_xlnm._FilterDatabase">'Jan-2026'!$A$6:$L$86</definedName>
    <definedName hidden="1" localSheetId="40" name="_xlnm._FilterDatabase">'Feb-2026'!$A$6:$L$87</definedName>
    <definedName hidden="1" localSheetId="41" name="_xlnm._FilterDatabase">'Mar-2026'!$A$6:$L$92</definedName>
    <definedName hidden="1" localSheetId="42" name="_xlnm._FilterDatabase">'16Mar-20Apr2026'!$A$6:$L$102</definedName>
    <definedName hidden="1" localSheetId="43" name="_xlnm._FilterDatabase">'21Apr-25May2026'!$A$6:$L$99</definedName>
    <definedName hidden="1" localSheetId="44" name="_xlnm._FilterDatabase">'26May-25Jun2026'!$A$6:$L$102</definedName>
    <definedName hidden="1" localSheetId="45" name="_xlnm._FilterDatabase">'26Jun-25Jul2026'!$A$6:$L$102</definedName>
  </definedNames>
  <calcPr/>
  <extLst>
    <ext uri="GoogleSheetsCustomDataVersion2">
      <go:sheetsCustomData xmlns:go="http://customooxmlschemas.google.com/" r:id="rId50" roundtripDataChecksum="jf9yzz/faTMqGf9uJBMRrsmHrVz7/vkEEFOFElzz6W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5">
      <text>
        <t xml:space="preserve">======
ID#AAAB3I5848M
SanSam KHM    (2026-04-10 04:32:52)
17Mar= 20$
01Apr= 30$</t>
      </text>
    </comment>
    <comment authorId="0" ref="H94">
      <text>
        <t xml:space="preserve">======
ID#AAAB3I5848I
SanSam KHM    (2026-04-10 04:27:58)
17Mar= 20$
31Mar= 50$</t>
      </text>
    </comment>
    <comment authorId="0" ref="H93">
      <text>
        <t xml:space="preserve">======
ID#AAAB3I5848U
SanSam KHM    (2026-04-10 04:37:31)
17Mar= 20$
01Apr= 25$</t>
      </text>
    </comment>
    <comment authorId="0" ref="H92">
      <text>
        <t xml:space="preserve">======
ID#AAAB3I5848Q
SanSam KHM    (2026-04-10 04:35:08)
17Mar = 20$
01Apr= 25$</t>
      </text>
    </comment>
    <comment authorId="0" ref="H74">
      <text>
        <t xml:space="preserve">======
ID#AAAB3I5848Y
SanSam KHM    (2026-04-10 05:01:52)
03Apr= 10$
09Apr= 10$</t>
      </text>
    </comment>
  </commentList>
  <extLst>
    <ext uri="GoogleSheetsCustomDataVersion2">
      <go:sheetsCustomData xmlns:go="http://customooxmlschemas.google.com/" r:id="rId1" roundtripDataSignature="AMtx7mjGt3sph56QQC5NVw7ttjp1qJBAw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6">
      <text>
        <t xml:space="preserve">======
ID#AAAB9Kngg0Y
SanSam KHM    (2026-06-12 02:55:19)
នៅសល់ពីសង</t>
      </text>
    </comment>
    <comment authorId="0" ref="K43">
      <text>
        <t xml:space="preserve">======
ID#AAAB7-MFC0Q
SanSam KHM    (2026-05-16 12:13:01)
Pay loan 2months</t>
      </text>
    </comment>
    <comment authorId="0" ref="H24">
      <text>
        <t xml:space="preserve">======
ID#AAAB6ZbPl3w
SanSam KHM    (2026-05-15 14:29:30)
24Apr 100$
09May 100$</t>
      </text>
    </comment>
    <comment authorId="0" ref="H52">
      <text>
        <t xml:space="preserve">======
ID#AAAB6idqZx0
SanSam KHM    (2026-05-16 07:08:38)
ផ្ទេរថវិកាសន្សំ ឈ្មោះលោកស្រី
អ៊ានអូន មកឈ្មោះ លោក វ៉ា សារ៉ា</t>
      </text>
    </comment>
    <comment authorId="0" ref="K46">
      <text>
        <t xml:space="preserve">======
ID#AAAB7pbv9rw
SanSam KHM    (2026-06-03 07:26:05)
Settle with his loan from Nov25</t>
      </text>
    </comment>
    <comment authorId="0" ref="H74">
      <text>
        <t xml:space="preserve">======
ID#AAAB6ZbPl3s
SanSam KHM    (2026-05-15 14:08:49)
06 May 10$
09 May: 20$</t>
      </text>
    </comment>
  </commentList>
  <extLst>
    <ext uri="GoogleSheetsCustomDataVersion2">
      <go:sheetsCustomData xmlns:go="http://customooxmlschemas.google.com/" r:id="rId1" roundtripDataSignature="AMtx7mjhY59T9m0mpGDN6iodyMuel5ari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9">
      <text>
        <t xml:space="preserve">======
ID#AAAB8PEXE1o
SanSam KHM    (2026-06-22 16:21:30)
1 Jun = 30$
14  Jun = 25$</t>
      </text>
    </comment>
  </commentList>
  <extLst>
    <ext uri="GoogleSheetsCustomDataVersion2">
      <go:sheetsCustomData xmlns:go="http://customooxmlschemas.google.com/" r:id="rId1" roundtripDataSignature="AMtx7mg7ok1Mg6SJFu9W149GshDhrZykQ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3">
      <text>
        <t xml:space="preserve">======
ID#AAACDPBKnjE
SanSam KHM    (2026-07-17 16:09:25)
Bank Statement = 30$ (her husband 10$)</t>
      </text>
    </comment>
    <comment authorId="0" ref="H14">
      <text>
        <t xml:space="preserve">======
ID#AAACDPw3EYw
SanSam KHM    (2026-07-17 13:50:55)
09-Jul-26 TY SAMPHORS VICHEKA's saving (508$)</t>
      </text>
    </comment>
  </commentList>
  <extLst>
    <ext uri="GoogleSheetsCustomDataVersion2">
      <go:sheetsCustomData xmlns:go="http://customooxmlschemas.google.com/" r:id="rId1" roundtripDataSignature="AMtx7mhABYuozR4e1SonEWVdj4g+k2l4Yw=="/>
    </ext>
  </extLst>
</comments>
</file>

<file path=xl/sharedStrings.xml><?xml version="1.0" encoding="utf-8"?>
<sst xmlns="http://schemas.openxmlformats.org/spreadsheetml/2006/main" count="7789" uniqueCount="260">
  <si>
    <t>ក្រុម​សន្សំ​ប្រាក់ «សន្សំSANSAM»</t>
  </si>
  <si>
    <t>ការសន្សំ​ចាប់​ពី​៥ដុល្លារ​ឡើង​ទៅក្នុង​មួយខែ ដោយ​សមាជិក​នឹង​ទទួល​បានការប្រាក់ប្រចាំ​ខែ0.83%</t>
  </si>
  <si>
    <t>ចំពោះ​សមាជិក​ដែលដាក់ប្រាក់​កម្ចី​គឺក្នុងអត្រា​ការប្រាក់​១០%ក្នុង​មួយឆ្នាំ​សម្រាប់ក្រុម​ប្រឹក្សាភិបាល​ ១៤.៤%ក្នុង​មួយឆ្នាំសម្រាប់​សមាជិកស្នូល ១៨%ក្នុងមួយឆ្នាំ​សម្រាប់​សមាជិក​ធម្មតា ៣%​ក្នុងមួយឆ្នាំ​សម្រាប់​សមាជិក​បញ្ញើ</t>
  </si>
  <si>
    <t>ការ​ដាក់​ប្រាក់​សន្សំចាប់ពី​ថ្ងៃទី១ដល់ថ្ងៃទី១០រៀងរាល់ខែ</t>
  </si>
  <si>
    <t>ពេលវេលាទទួល​បាន​កម្ចី​ចន្លោះពីថ្ងៃទី១០ដល់ថ្ងៃទី១៥​រៀងរាល់ខែ</t>
  </si>
  <si>
    <t>តារាងសន្សំ​ខែ តុលា ឆ្នាំ២០២២</t>
  </si>
  <si>
    <t>ល.រ</t>
  </si>
  <si>
    <t>ឈ្មោះ​សមាជិកដាក់សន្សំ​</t>
  </si>
  <si>
    <t>ភេទ</t>
  </si>
  <si>
    <t>តួនាទី​ក្នុង​សន្សំ</t>
  </si>
  <si>
    <t>ថ្ងៃខែដាក់សន្សំ</t>
  </si>
  <si>
    <t>ប្រាក់ដាក់សន្សំ</t>
  </si>
  <si>
    <t>ការប្រាក់ទទួលបាន</t>
  </si>
  <si>
    <t>សមតុល្យ​សាច់ប្រាក់</t>
  </si>
  <si>
    <t>ប្រាក់បានដក</t>
  </si>
  <si>
    <t>សមតុល្យ​សាច់ប្រាក់ក្រោយដក</t>
  </si>
  <si>
    <t>អាត់ ធន់</t>
  </si>
  <si>
    <t>ប្រុស</t>
  </si>
  <si>
    <t>ស្ថាបនិក</t>
  </si>
  <si>
    <t>ប៉ិច ពិសី</t>
  </si>
  <si>
    <t>ហុង រស្មី</t>
  </si>
  <si>
    <t>ស៊ិន ពុទ្ធារី</t>
  </si>
  <si>
    <t>ស្រី</t>
  </si>
  <si>
    <t>វន់ ពៅ</t>
  </si>
  <si>
    <t>ស ម៉ូរ៉ា</t>
  </si>
  <si>
    <t>ណុប វី</t>
  </si>
  <si>
    <t>អ៊ូ រិទ្ធី</t>
  </si>
  <si>
    <t>តារាងសន្សំ​ខែ វិច្ឆិកា ឆ្នាំ២០២២</t>
  </si>
  <si>
    <t>ប្រាក់ដើម</t>
  </si>
  <si>
    <t>សំ​ សុម៉ុនី</t>
  </si>
  <si>
    <t>សមាជិក</t>
  </si>
  <si>
    <t>តារាងសន្សំ​ខែ ធ្នូ ឆ្នាំ២០២២</t>
  </si>
  <si>
    <t>តារាងសន្សំ​ខែ មករា​ ឆ្នាំ២០២៣</t>
  </si>
  <si>
    <t>PECH PISEY</t>
  </si>
  <si>
    <t>HONG REAKSMEY</t>
  </si>
  <si>
    <t>SIN PUTHEARY</t>
  </si>
  <si>
    <t>PAO VORN</t>
  </si>
  <si>
    <t>SAR MORA</t>
  </si>
  <si>
    <t>NOP VY</t>
  </si>
  <si>
    <t>OU RITHY</t>
  </si>
  <si>
    <t>SAM SOMONY</t>
  </si>
  <si>
    <t>KOY MAQUIS</t>
  </si>
  <si>
    <t>Ly Malin</t>
  </si>
  <si>
    <t>Van Bunna</t>
  </si>
  <si>
    <t>Long Borin</t>
  </si>
  <si>
    <t>តារាងសន្សំ​ខែ កុម្ភះ​ ឆ្នាំ២០២៣</t>
  </si>
  <si>
    <t>ART THORN</t>
  </si>
  <si>
    <t>SOR MORA</t>
  </si>
  <si>
    <t>OU RITHTY</t>
  </si>
  <si>
    <t>SENG RITHY</t>
  </si>
  <si>
    <t>OU TEPPHALIN</t>
  </si>
  <si>
    <t>YIM BUNTHENG</t>
  </si>
  <si>
    <t>THENG SAVOEUN</t>
  </si>
  <si>
    <t>OU VANN</t>
  </si>
  <si>
    <t>SIYONN SOTHEARITH</t>
  </si>
  <si>
    <t>YEAN REAKSMEY</t>
  </si>
  <si>
    <t>SON PENH</t>
  </si>
  <si>
    <t>តារាងសន្សំ​ខែ មីនា ឆ្នាំ២០២៣</t>
  </si>
  <si>
    <t>OU TEP PHALLIN</t>
  </si>
  <si>
    <t>Chan Theara</t>
  </si>
  <si>
    <t>តារាងសន្សំ​ខែ មេសា​ ឆ្នាំ២០២៣</t>
  </si>
  <si>
    <t>SOEUNG SAROEUN</t>
  </si>
  <si>
    <t>តារាងសន្សំ​ខែ ឧសភា​ ឆ្នាំ២០២៣</t>
  </si>
  <si>
    <t>TUY SYTHIENG</t>
  </si>
  <si>
    <t>CHHEOUNG VEASNA</t>
  </si>
  <si>
    <t>OM MANITH</t>
  </si>
  <si>
    <t>IM SOTHY</t>
  </si>
  <si>
    <t>តារាងសន្សំ​ខែ មិថុនា​ ឆ្នាំ២០២៣</t>
  </si>
  <si>
    <t>OL VANN</t>
  </si>
  <si>
    <t>SOTHY</t>
  </si>
  <si>
    <t>Pa Chanroeun</t>
  </si>
  <si>
    <t>តារាងសន្សំ​ខែ កក្កដា​ ឆ្នាំ២០២៣</t>
  </si>
  <si>
    <t>UL VANN</t>
  </si>
  <si>
    <t>តារាងសន្សំ​ខែ សីហា ឆ្នាំ២០២៣</t>
  </si>
  <si>
    <t>SANSAM SAVING GROUP</t>
  </si>
  <si>
    <t>SAVING FROM 5USD PER MONTH BY GETTING INTEREST 10% PER YEAR</t>
  </si>
  <si>
    <t>SAVING DEPOSIT FROM 1ST - 10TH EVERY MONTH</t>
  </si>
  <si>
    <t>ACCESSIBLE LOAN ON 15TH EACH MONTH</t>
  </si>
  <si>
    <t>SAVING IN SEPTEMBER 2023</t>
  </si>
  <si>
    <t>NO</t>
  </si>
  <si>
    <t>NAME</t>
  </si>
  <si>
    <t>SEX</t>
  </si>
  <si>
    <t>ROLE</t>
  </si>
  <si>
    <t>SAVING DATE</t>
  </si>
  <si>
    <t>TEAM LEADER</t>
  </si>
  <si>
    <t>CAPITAL</t>
  </si>
  <si>
    <t>SAVING</t>
  </si>
  <si>
    <t>INTEREST</t>
  </si>
  <si>
    <t>BALANCE</t>
  </si>
  <si>
    <t>WITHDRAWAL</t>
  </si>
  <si>
    <t>TOTAL</t>
  </si>
  <si>
    <t>M</t>
  </si>
  <si>
    <t>FOUNDER</t>
  </si>
  <si>
    <t>F</t>
  </si>
  <si>
    <t>MEMBER</t>
  </si>
  <si>
    <t>LY MALIN</t>
  </si>
  <si>
    <t>VAN BUNNA</t>
  </si>
  <si>
    <t>CHAN THEARA</t>
  </si>
  <si>
    <t>LONG BORIN</t>
  </si>
  <si>
    <t>PA CHANROEUN</t>
  </si>
  <si>
    <t>HENG SOCHEA</t>
  </si>
  <si>
    <t>TUM SOKRAKSA</t>
  </si>
  <si>
    <t>SDEUNG PHEARONG</t>
  </si>
  <si>
    <t>SAVING IN OCTOBER 2023</t>
  </si>
  <si>
    <t>TY SAMPHORS VICHEKA</t>
  </si>
  <si>
    <t>CHUM CHANDARIN</t>
  </si>
  <si>
    <t>PEANH KOEUN</t>
  </si>
  <si>
    <t>YANG SOPHORN</t>
  </si>
  <si>
    <t>RO VANNAK</t>
  </si>
  <si>
    <t>SENG VANLY</t>
  </si>
  <si>
    <t>YORNG SOKHAI</t>
  </si>
  <si>
    <t>MENGHAK VICHHAY</t>
  </si>
  <si>
    <t>SIM SUNNARY</t>
  </si>
  <si>
    <t>SAVING IN NOVEMBER 2023</t>
  </si>
  <si>
    <t>SAVING IN DECEMBER 2023</t>
  </si>
  <si>
    <t>SAVING IN JANUARY 2024</t>
  </si>
  <si>
    <t>AN NITH</t>
  </si>
  <si>
    <t>SRENG SAREN</t>
  </si>
  <si>
    <t>LAUT PHEAKDEY</t>
  </si>
  <si>
    <t>SAVING IN FEB 2024</t>
  </si>
  <si>
    <t>KRUY BOPHA</t>
  </si>
  <si>
    <t>HORN RITHY</t>
  </si>
  <si>
    <t>SAY POLYDA</t>
  </si>
  <si>
    <t>SAVING IN Mar 2024</t>
  </si>
  <si>
    <t>SAY SAMPOLIDA</t>
  </si>
  <si>
    <t>CHHEAV NAK</t>
  </si>
  <si>
    <t>CHUN SOKTHOUTHEAREACH</t>
  </si>
  <si>
    <t>MENG SOTHY VATNAK</t>
  </si>
  <si>
    <t>HUN SOT</t>
  </si>
  <si>
    <t>KET SOKSEILA</t>
  </si>
  <si>
    <t>SAVING IN APRIL 2024</t>
  </si>
  <si>
    <t>ATH THORN</t>
  </si>
  <si>
    <t>UM SAROM</t>
  </si>
  <si>
    <t>PHAL CHANTHA</t>
  </si>
  <si>
    <t>VA SARA</t>
  </si>
  <si>
    <t>KET LENG</t>
  </si>
  <si>
    <t>EAN OUN</t>
  </si>
  <si>
    <t>SAVING IN MAY 2024</t>
  </si>
  <si>
    <t>IEN SOPHOEURN</t>
  </si>
  <si>
    <t>SAVING IN Jun 2024</t>
  </si>
  <si>
    <t>SAVING IN Jul 2024</t>
  </si>
  <si>
    <t>SAVING IN Aug 2024</t>
  </si>
  <si>
    <t>Chea Sopheap</t>
  </si>
  <si>
    <t>.</t>
  </si>
  <si>
    <t>SAVING IN Sep 2024</t>
  </si>
  <si>
    <t>SAVING IN OCT 2024</t>
  </si>
  <si>
    <t>Lim Solinn</t>
  </si>
  <si>
    <t>SAVING IN NOV 2024</t>
  </si>
  <si>
    <t>SAVING IN DEC 2024</t>
  </si>
  <si>
    <t>ស្នើដកលុយសន្សំ​ $3000</t>
  </si>
  <si>
    <t>ស្នើដកលុយសន្សំ​ $2000</t>
  </si>
  <si>
    <t>ស្នើដកលុយសន្សំ</t>
  </si>
  <si>
    <t>SAVING IN Jan 2025</t>
  </si>
  <si>
    <t>Pech Sokunthea</t>
  </si>
  <si>
    <t>Lat Ky</t>
  </si>
  <si>
    <t>Chun Sotheary</t>
  </si>
  <si>
    <t>Veng Rivan</t>
  </si>
  <si>
    <t>Khiev Peou</t>
  </si>
  <si>
    <t>SAVING IN FEB 2025</t>
  </si>
  <si>
    <t>EK SARUN</t>
  </si>
  <si>
    <t>LEE CHING KUOY</t>
  </si>
  <si>
    <t>SAY POLIDA</t>
  </si>
  <si>
    <t>Veng Virann</t>
  </si>
  <si>
    <t>SAVING IN April 2025</t>
  </si>
  <si>
    <t>Ly Pheareak</t>
  </si>
  <si>
    <t>Seoung Nimol</t>
  </si>
  <si>
    <t>SAVING IN May 2025</t>
  </si>
  <si>
    <t>SAVING IN JUN 2025</t>
  </si>
  <si>
    <t>Thou Bech</t>
  </si>
  <si>
    <t>Sarin Sovanny</t>
  </si>
  <si>
    <t>Thorng soorphorn</t>
  </si>
  <si>
    <t>Chhut Syneet</t>
  </si>
  <si>
    <t>SAVING IN JUL 2025</t>
  </si>
  <si>
    <t>OU RITTHY</t>
  </si>
  <si>
    <t>LIM SOLINN</t>
  </si>
  <si>
    <t>Yang Sophorn</t>
  </si>
  <si>
    <t>Kruy Bopha</t>
  </si>
  <si>
    <t>KET SOKSILA</t>
  </si>
  <si>
    <t>Ket Leng</t>
  </si>
  <si>
    <t>Ek Sarun</t>
  </si>
  <si>
    <t>Seoung Nimol and Vong Promnea</t>
  </si>
  <si>
    <t>Thorng Soorphorn</t>
  </si>
  <si>
    <t>Roeurng Thyda</t>
  </si>
  <si>
    <t>Roeurng Chanthy</t>
  </si>
  <si>
    <t>Vann Thana</t>
  </si>
  <si>
    <t>SENG SOVATHANA</t>
  </si>
  <si>
    <t>Chan Cha ny</t>
  </si>
  <si>
    <t>Peanh Savoeun</t>
  </si>
  <si>
    <t>SAVING IN AUG 2025</t>
  </si>
  <si>
    <t>VORN PAO</t>
  </si>
  <si>
    <t>Peanh Koeun</t>
  </si>
  <si>
    <t>NOU SREYNA</t>
  </si>
  <si>
    <t>YANG VANNARITH</t>
  </si>
  <si>
    <t>SAVING IN SEP 2025</t>
  </si>
  <si>
    <t>SAVING IN OCT 2025</t>
  </si>
  <si>
    <t>2dg/29Oct</t>
  </si>
  <si>
    <t>2dg, 31Oct</t>
  </si>
  <si>
    <t>2dg. 31oct</t>
  </si>
  <si>
    <t>3dg/04,31Oct</t>
  </si>
  <si>
    <t>Chakriya Suon</t>
  </si>
  <si>
    <t>SAVING IN NOV 2025</t>
  </si>
  <si>
    <t>2dg, 30Nov</t>
  </si>
  <si>
    <t>SAVING IN DEC 2025</t>
  </si>
  <si>
    <t>2dg, 30Dec</t>
  </si>
  <si>
    <t>2dg, 31Dec</t>
  </si>
  <si>
    <t>ROEUNG CHANDA</t>
  </si>
  <si>
    <t>CHHUN SAKANA</t>
  </si>
  <si>
    <t>CHHUN SOPHEAKTRA</t>
  </si>
  <si>
    <t>SAVING IN JAN 2026</t>
  </si>
  <si>
    <t>Co Member</t>
  </si>
  <si>
    <t>add 23Jan</t>
  </si>
  <si>
    <t>2dg,16jan</t>
  </si>
  <si>
    <t>3dg, 13, 18jan</t>
  </si>
  <si>
    <t>23/1/2026</t>
  </si>
  <si>
    <t>2dg, 16jan</t>
  </si>
  <si>
    <t>Chhan Channy</t>
  </si>
  <si>
    <t>2dg, 23Jan</t>
  </si>
  <si>
    <t>CHHUN ARISSA</t>
  </si>
  <si>
    <t>SAVING IN FEB 2026</t>
  </si>
  <si>
    <t>YANG SOPHY AND
SOENG MONYROTH</t>
  </si>
  <si>
    <t>MAO SREYMOM</t>
  </si>
  <si>
    <t>SAVING IN MAR 2026</t>
  </si>
  <si>
    <t>SOENG MONYROTH</t>
  </si>
  <si>
    <t>Phin Savey</t>
  </si>
  <si>
    <t>Eng Sokrors/ អេង សុខរស់</t>
  </si>
  <si>
    <t>Bory Man</t>
  </si>
  <si>
    <t>CHHUT SREYNOCH</t>
  </si>
  <si>
    <t>Phal Chanthoeun</t>
  </si>
  <si>
    <t>LENG SAMBATH</t>
  </si>
  <si>
    <t>PHAL CHANNA</t>
  </si>
  <si>
    <t>SAVING IN 16MAR-20APR 2026</t>
  </si>
  <si>
    <t>Thorng Sorphorn</t>
  </si>
  <si>
    <t>Chhan Channy/ឆាន​ ចាន្នី</t>
  </si>
  <si>
    <t>SUON CHAKRIYA</t>
  </si>
  <si>
    <t>YORN YEUT</t>
  </si>
  <si>
    <t>HIM ROKEY</t>
  </si>
  <si>
    <t>PUM SREYMOL</t>
  </si>
  <si>
    <t>KORN SOKON</t>
  </si>
  <si>
    <t>SBORNG NARIN</t>
  </si>
  <si>
    <t>PO YENG</t>
  </si>
  <si>
    <t>Davy Heu</t>
  </si>
  <si>
    <t>Cash in bank</t>
  </si>
  <si>
    <t xml:space="preserve">Saving </t>
  </si>
  <si>
    <t>Loan payment</t>
  </si>
  <si>
    <t>Allowance</t>
  </si>
  <si>
    <t>SAVING IN 21APR-25MAY 2026</t>
  </si>
  <si>
    <t xml:space="preserve">THENG SAVOEUN </t>
  </si>
  <si>
    <t>Peanh Koeun / ពាញ គឿន</t>
  </si>
  <si>
    <t>Ket Leng​ / គិត ឡេង</t>
  </si>
  <si>
    <t>Veng Virann / វ៉េង វិរ៉ាន់</t>
  </si>
  <si>
    <t>Thorng Sorphorn / ថោង សោភណ្ត័</t>
  </si>
  <si>
    <t>Chhut Syneet / ឈុត សុីនិត</t>
  </si>
  <si>
    <t>Vann Thana /  វ៉ាន់ ថាណា</t>
  </si>
  <si>
    <t>Peanh Savoeun /  ពាញ​ សាវឿន</t>
  </si>
  <si>
    <t>SAVING IN 26MAY-25JUN 2026</t>
  </si>
  <si>
    <t>Lat Ky / ឡាត់ គឹ</t>
  </si>
  <si>
    <t>សំ សុខទឺ/ ឆាន់ចាន់ណា</t>
  </si>
  <si>
    <t>SAVING IN 26MJUN-25JUl 2026</t>
  </si>
  <si>
    <t>សំ សុខទឺ</t>
  </si>
  <si>
    <t>PEANH SAT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</si>
</sst>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$&quot;#,##0.00_);[Red]\(&quot;$&quot;#,##0.00\)"/>
    <numFmt numFmtId="166" formatCode="_(&quot;$&quot;* #,##0.00_);_(&quot;$&quot;* \(#,##0.00\);_(&quot;$&quot;* &quot;-&quot;??_);_(@_)"/>
  </numFmts>
  <fonts count="16">
    <font>
      <sz val="11.0"/>
      <color theme="1"/>
      <name val="Calibri"/>
      <scheme val="minor"/>
    </font>
    <font>
      <sz val="10.0"/>
      <color theme="1"/>
      <name val="Arial"/>
    </font>
    <font/>
    <font>
      <b/>
      <sz val="10.0"/>
      <color theme="1"/>
      <name val="Arial"/>
    </font>
    <font>
      <b/>
      <i/>
      <u/>
      <sz val="10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i/>
      <u/>
      <sz val="10.0"/>
      <color theme="1"/>
      <name val="Arial"/>
    </font>
    <font>
      <sz val="10.0"/>
      <color rgb="FFFF0000"/>
      <name val="Arial"/>
    </font>
    <font>
      <sz val="9.0"/>
      <color rgb="FFFF0000"/>
      <name val="Arial"/>
    </font>
    <font>
      <sz val="10.0"/>
      <color rgb="FF000000"/>
      <name val="Arial"/>
    </font>
    <font>
      <sz val="9.0"/>
      <color rgb="FF000000"/>
      <name val="Arial"/>
    </font>
    <font>
      <sz val="8.0"/>
      <color rgb="FF000000"/>
      <name val="Arial"/>
    </font>
    <font>
      <sz val="10.0"/>
      <color rgb="FF0000FF"/>
      <name val="Arial"/>
    </font>
    <font>
      <sz val="9.0"/>
      <color rgb="FF0000FF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</fills>
  <borders count="10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horizontal="center" shrinkToFit="0" wrapText="1"/>
    </xf>
    <xf borderId="9" fillId="2" fontId="1" numFmtId="0" xfId="0" applyAlignment="1" applyBorder="1" applyFill="1" applyFont="1">
      <alignment shrinkToFit="0" wrapText="1"/>
    </xf>
    <xf borderId="9" fillId="0" fontId="1" numFmtId="0" xfId="0" applyAlignment="1" applyBorder="1" applyFont="1">
      <alignment shrinkToFit="0" wrapText="1"/>
    </xf>
    <xf borderId="9" fillId="0" fontId="1" numFmtId="164" xfId="0" applyAlignment="1" applyBorder="1" applyFont="1" applyNumberFormat="1">
      <alignment horizontal="right" shrinkToFit="0" wrapText="1"/>
    </xf>
    <xf borderId="9" fillId="2" fontId="1" numFmtId="165" xfId="0" applyAlignment="1" applyBorder="1" applyFont="1" applyNumberFormat="1">
      <alignment horizontal="right" shrinkToFit="0" wrapText="1"/>
    </xf>
    <xf borderId="9" fillId="0" fontId="1" numFmtId="165" xfId="0" applyAlignment="1" applyBorder="1" applyFont="1" applyNumberFormat="1">
      <alignment horizontal="right" shrinkToFit="0" wrapText="1"/>
    </xf>
    <xf borderId="8" fillId="0" fontId="1" numFmtId="0" xfId="0" applyAlignment="1" applyBorder="1" applyFont="1">
      <alignment shrinkToFit="0" wrapText="1"/>
    </xf>
    <xf borderId="9" fillId="0" fontId="4" numFmtId="165" xfId="0" applyAlignment="1" applyBorder="1" applyFont="1" applyNumberFormat="1">
      <alignment horizontal="right" shrinkToFit="0" wrapText="1"/>
    </xf>
    <xf borderId="4" fillId="0" fontId="1" numFmtId="165" xfId="0" applyAlignment="1" applyBorder="1" applyFont="1" applyNumberFormat="1">
      <alignment shrinkToFit="0" wrapText="1"/>
    </xf>
    <xf borderId="9" fillId="0" fontId="1" numFmtId="2" xfId="0" applyAlignment="1" applyBorder="1" applyFont="1" applyNumberFormat="1">
      <alignment shrinkToFit="0" wrapText="1"/>
    </xf>
    <xf borderId="4" fillId="0" fontId="1" numFmtId="16" xfId="0" applyAlignment="1" applyBorder="1" applyFont="1" applyNumberFormat="1">
      <alignment shrinkToFit="0" wrapText="1"/>
    </xf>
    <xf borderId="9" fillId="2" fontId="1" numFmtId="164" xfId="0" applyAlignment="1" applyBorder="1" applyFont="1" applyNumberFormat="1">
      <alignment horizontal="right" shrinkToFit="0" wrapText="1"/>
    </xf>
    <xf borderId="9" fillId="2" fontId="1" numFmtId="2" xfId="0" applyAlignment="1" applyBorder="1" applyFont="1" applyNumberFormat="1">
      <alignment shrinkToFit="0" wrapText="1"/>
    </xf>
    <xf borderId="8" fillId="3" fontId="1" numFmtId="0" xfId="0" applyAlignment="1" applyBorder="1" applyFill="1" applyFont="1">
      <alignment horizontal="center" shrinkToFit="0" wrapText="1"/>
    </xf>
    <xf borderId="9" fillId="3" fontId="1" numFmtId="0" xfId="0" applyAlignment="1" applyBorder="1" applyFont="1">
      <alignment shrinkToFit="0" wrapText="1"/>
    </xf>
    <xf borderId="9" fillId="3" fontId="1" numFmtId="164" xfId="0" applyAlignment="1" applyBorder="1" applyFont="1" applyNumberFormat="1">
      <alignment horizontal="right" shrinkToFit="0" wrapText="1"/>
    </xf>
    <xf borderId="9" fillId="3" fontId="1" numFmtId="165" xfId="0" applyAlignment="1" applyBorder="1" applyFont="1" applyNumberFormat="1">
      <alignment horizontal="right" shrinkToFit="0" wrapText="1"/>
    </xf>
    <xf borderId="1" fillId="0" fontId="3" numFmtId="0" xfId="0" applyAlignment="1" applyBorder="1" applyFont="1">
      <alignment horizontal="center" shrinkToFit="0" wrapText="1"/>
    </xf>
    <xf borderId="5" fillId="3" fontId="3" numFmtId="0" xfId="0" applyAlignment="1" applyBorder="1" applyFont="1">
      <alignment horizontal="center" shrinkToFit="0" wrapText="1"/>
    </xf>
    <xf borderId="9" fillId="0" fontId="5" numFmtId="0" xfId="0" applyAlignment="1" applyBorder="1" applyFont="1">
      <alignment shrinkToFit="0" wrapText="1"/>
    </xf>
    <xf borderId="9" fillId="0" fontId="5" numFmtId="164" xfId="0" applyAlignment="1" applyBorder="1" applyFont="1" applyNumberFormat="1">
      <alignment horizontal="right" shrinkToFit="0" wrapText="1"/>
    </xf>
    <xf borderId="9" fillId="2" fontId="5" numFmtId="165" xfId="0" applyAlignment="1" applyBorder="1" applyFont="1" applyNumberFormat="1">
      <alignment horizontal="right" shrinkToFit="0" wrapText="1"/>
    </xf>
    <xf borderId="9" fillId="0" fontId="5" numFmtId="165" xfId="0" applyAlignment="1" applyBorder="1" applyFont="1" applyNumberFormat="1">
      <alignment horizontal="right" shrinkToFit="0" wrapText="1"/>
    </xf>
    <xf borderId="9" fillId="2" fontId="5" numFmtId="0" xfId="0" applyAlignment="1" applyBorder="1" applyFont="1">
      <alignment shrinkToFit="0" wrapText="1"/>
    </xf>
    <xf borderId="9" fillId="2" fontId="5" numFmtId="164" xfId="0" applyAlignment="1" applyBorder="1" applyFont="1" applyNumberFormat="1">
      <alignment horizontal="right" shrinkToFit="0" wrapText="1"/>
    </xf>
    <xf borderId="9" fillId="3" fontId="5" numFmtId="0" xfId="0" applyAlignment="1" applyBorder="1" applyFont="1">
      <alignment shrinkToFit="0" wrapText="1"/>
    </xf>
    <xf borderId="9" fillId="3" fontId="5" numFmtId="164" xfId="0" applyAlignment="1" applyBorder="1" applyFont="1" applyNumberFormat="1">
      <alignment horizontal="right" shrinkToFit="0" wrapText="1"/>
    </xf>
    <xf borderId="9" fillId="3" fontId="5" numFmtId="165" xfId="0" applyAlignment="1" applyBorder="1" applyFont="1" applyNumberFormat="1">
      <alignment horizontal="right" shrinkToFit="0" wrapText="1"/>
    </xf>
    <xf borderId="9" fillId="2" fontId="5" numFmtId="2" xfId="0" applyAlignment="1" applyBorder="1" applyFont="1" applyNumberFormat="1">
      <alignment shrinkToFit="0" wrapText="1"/>
    </xf>
    <xf borderId="9" fillId="0" fontId="5" numFmtId="2" xfId="0" applyAlignment="1" applyBorder="1" applyFont="1" applyNumberFormat="1">
      <alignment shrinkToFit="0" wrapText="1"/>
    </xf>
    <xf borderId="8" fillId="2" fontId="1" numFmtId="0" xfId="0" applyAlignment="1" applyBorder="1" applyFont="1">
      <alignment horizontal="center" shrinkToFit="0" wrapText="1"/>
    </xf>
    <xf borderId="9" fillId="4" fontId="5" numFmtId="0" xfId="0" applyAlignment="1" applyBorder="1" applyFill="1" applyFont="1">
      <alignment shrinkToFit="0" wrapText="1"/>
    </xf>
    <xf borderId="9" fillId="4" fontId="5" numFmtId="164" xfId="0" applyAlignment="1" applyBorder="1" applyFont="1" applyNumberFormat="1">
      <alignment horizontal="right" shrinkToFit="0" wrapText="1"/>
    </xf>
    <xf borderId="9" fillId="4" fontId="5" numFmtId="165" xfId="0" applyAlignment="1" applyBorder="1" applyFont="1" applyNumberFormat="1">
      <alignment horizontal="right" shrinkToFit="0" wrapText="1"/>
    </xf>
    <xf borderId="9" fillId="4" fontId="5" numFmtId="166" xfId="0" applyAlignment="1" applyBorder="1" applyFont="1" applyNumberFormat="1">
      <alignment shrinkToFit="0" wrapText="1"/>
    </xf>
    <xf borderId="4" fillId="0" fontId="1" numFmtId="166" xfId="0" applyAlignment="1" applyBorder="1" applyFont="1" applyNumberFormat="1">
      <alignment shrinkToFit="0" wrapText="1"/>
    </xf>
    <xf borderId="9" fillId="5" fontId="5" numFmtId="0" xfId="0" applyAlignment="1" applyBorder="1" applyFill="1" applyFont="1">
      <alignment shrinkToFit="0" wrapText="1"/>
    </xf>
    <xf borderId="9" fillId="5" fontId="5" numFmtId="164" xfId="0" applyAlignment="1" applyBorder="1" applyFont="1" applyNumberFormat="1">
      <alignment horizontal="right" shrinkToFit="0" wrapText="1"/>
    </xf>
    <xf borderId="9" fillId="5" fontId="5" numFmtId="165" xfId="0" applyAlignment="1" applyBorder="1" applyFont="1" applyNumberFormat="1">
      <alignment horizontal="right" shrinkToFit="0" wrapText="1"/>
    </xf>
    <xf borderId="9" fillId="5" fontId="5" numFmtId="166" xfId="0" applyAlignment="1" applyBorder="1" applyFont="1" applyNumberFormat="1">
      <alignment shrinkToFit="0" wrapText="1"/>
    </xf>
    <xf borderId="9" fillId="2" fontId="5" numFmtId="166" xfId="0" applyAlignment="1" applyBorder="1" applyFont="1" applyNumberFormat="1">
      <alignment shrinkToFit="0" wrapText="1"/>
    </xf>
    <xf borderId="9" fillId="2" fontId="5" numFmtId="166" xfId="0" applyAlignment="1" applyBorder="1" applyFont="1" applyNumberFormat="1">
      <alignment horizontal="right" shrinkToFit="0" wrapText="1"/>
    </xf>
    <xf borderId="9" fillId="0" fontId="1" numFmtId="166" xfId="0" applyAlignment="1" applyBorder="1" applyFont="1" applyNumberFormat="1">
      <alignment shrinkToFit="0" wrapText="1"/>
    </xf>
    <xf borderId="9" fillId="0" fontId="6" numFmtId="0" xfId="0" applyAlignment="1" applyBorder="1" applyFont="1">
      <alignment shrinkToFit="0" wrapText="1"/>
    </xf>
    <xf borderId="9" fillId="0" fontId="7" numFmtId="166" xfId="0" applyAlignment="1" applyBorder="1" applyFont="1" applyNumberFormat="1">
      <alignment horizontal="right" shrinkToFit="0" wrapText="1"/>
    </xf>
    <xf borderId="9" fillId="3" fontId="5" numFmtId="2" xfId="0" applyAlignment="1" applyBorder="1" applyFont="1" applyNumberFormat="1">
      <alignment shrinkToFit="0" wrapText="1"/>
    </xf>
    <xf borderId="9" fillId="2" fontId="5" numFmtId="165" xfId="0" applyAlignment="1" applyBorder="1" applyFont="1" applyNumberFormat="1">
      <alignment horizontal="right" readingOrder="0" shrinkToFit="0" wrapText="1"/>
    </xf>
    <xf borderId="9" fillId="0" fontId="1" numFmtId="164" xfId="0" applyAlignment="1" applyBorder="1" applyFont="1" applyNumberFormat="1">
      <alignment horizontal="right" readingOrder="0" shrinkToFit="0" wrapText="1"/>
    </xf>
    <xf borderId="9" fillId="0" fontId="1" numFmtId="165" xfId="0" applyAlignment="1" applyBorder="1" applyFont="1" applyNumberFormat="1">
      <alignment shrinkToFit="0" wrapText="1"/>
    </xf>
    <xf borderId="9" fillId="3" fontId="5" numFmtId="166" xfId="0" applyAlignment="1" applyBorder="1" applyFont="1" applyNumberFormat="1">
      <alignment horizontal="right" shrinkToFit="0" wrapText="1"/>
    </xf>
    <xf borderId="9" fillId="3" fontId="5" numFmtId="166" xfId="0" applyAlignment="1" applyBorder="1" applyFont="1" applyNumberFormat="1">
      <alignment shrinkToFit="0" wrapText="1"/>
    </xf>
    <xf borderId="4" fillId="3" fontId="1" numFmtId="0" xfId="0" applyAlignment="1" applyBorder="1" applyFont="1">
      <alignment shrinkToFit="0" wrapText="1"/>
    </xf>
    <xf borderId="4" fillId="2" fontId="1" numFmtId="0" xfId="0" applyAlignment="1" applyBorder="1" applyFont="1">
      <alignment shrinkToFit="0" wrapText="1"/>
    </xf>
    <xf borderId="9" fillId="2" fontId="1" numFmtId="166" xfId="0" applyAlignment="1" applyBorder="1" applyFont="1" applyNumberFormat="1">
      <alignment shrinkToFit="0" wrapText="1"/>
    </xf>
    <xf borderId="4" fillId="2" fontId="1" numFmtId="165" xfId="0" applyAlignment="1" applyBorder="1" applyFont="1" applyNumberFormat="1">
      <alignment shrinkToFit="0" wrapText="1"/>
    </xf>
    <xf borderId="8" fillId="2" fontId="8" numFmtId="0" xfId="0" applyAlignment="1" applyBorder="1" applyFont="1">
      <alignment horizontal="center" shrinkToFit="0" wrapText="1"/>
    </xf>
    <xf borderId="9" fillId="0" fontId="8" numFmtId="0" xfId="0" applyAlignment="1" applyBorder="1" applyFont="1">
      <alignment shrinkToFit="0" wrapText="1"/>
    </xf>
    <xf borderId="9" fillId="0" fontId="9" numFmtId="0" xfId="0" applyAlignment="1" applyBorder="1" applyFont="1">
      <alignment shrinkToFit="0" wrapText="1"/>
    </xf>
    <xf borderId="9" fillId="0" fontId="8" numFmtId="164" xfId="0" applyAlignment="1" applyBorder="1" applyFont="1" applyNumberFormat="1">
      <alignment horizontal="right" shrinkToFit="0" wrapText="1"/>
    </xf>
    <xf borderId="9" fillId="0" fontId="8" numFmtId="166" xfId="0" applyAlignment="1" applyBorder="1" applyFont="1" applyNumberFormat="1">
      <alignment shrinkToFit="0" wrapText="1"/>
    </xf>
    <xf borderId="9" fillId="2" fontId="9" numFmtId="165" xfId="0" applyAlignment="1" applyBorder="1" applyFont="1" applyNumberFormat="1">
      <alignment horizontal="right" shrinkToFit="0" wrapText="1"/>
    </xf>
    <xf borderId="9" fillId="0" fontId="9" numFmtId="165" xfId="0" applyAlignment="1" applyBorder="1" applyFont="1" applyNumberFormat="1">
      <alignment horizontal="right" shrinkToFit="0" wrapText="1"/>
    </xf>
    <xf borderId="9" fillId="0" fontId="9" numFmtId="166" xfId="0" applyAlignment="1" applyBorder="1" applyFont="1" applyNumberFormat="1">
      <alignment horizontal="right" shrinkToFit="0" wrapText="1"/>
    </xf>
    <xf borderId="4" fillId="0" fontId="8" numFmtId="165" xfId="0" applyAlignment="1" applyBorder="1" applyFont="1" applyNumberFormat="1">
      <alignment shrinkToFit="0" wrapText="1"/>
    </xf>
    <xf borderId="4" fillId="0" fontId="8" numFmtId="0" xfId="0" applyAlignment="1" applyBorder="1" applyFont="1">
      <alignment shrinkToFit="0" wrapText="1"/>
    </xf>
    <xf borderId="9" fillId="2" fontId="9" numFmtId="0" xfId="0" applyAlignment="1" applyBorder="1" applyFont="1">
      <alignment shrinkToFit="0" wrapText="1"/>
    </xf>
    <xf borderId="9" fillId="2" fontId="9" numFmtId="164" xfId="0" applyAlignment="1" applyBorder="1" applyFont="1" applyNumberFormat="1">
      <alignment horizontal="right" shrinkToFit="0" wrapText="1"/>
    </xf>
    <xf borderId="9" fillId="2" fontId="9" numFmtId="166" xfId="0" applyAlignment="1" applyBorder="1" applyFont="1" applyNumberFormat="1">
      <alignment horizontal="right" shrinkToFit="0" wrapText="1"/>
    </xf>
    <xf borderId="9" fillId="0" fontId="5" numFmtId="166" xfId="0" applyAlignment="1" applyBorder="1" applyFont="1" applyNumberFormat="1">
      <alignment horizontal="right" shrinkToFit="0" wrapText="1"/>
    </xf>
    <xf borderId="8" fillId="0" fontId="10" numFmtId="0" xfId="0" applyAlignment="1" applyBorder="1" applyFont="1">
      <alignment horizontal="center" shrinkToFit="0" wrapText="1"/>
    </xf>
    <xf borderId="9" fillId="0" fontId="11" numFmtId="0" xfId="0" applyAlignment="1" applyBorder="1" applyFont="1">
      <alignment shrinkToFit="0" wrapText="1"/>
    </xf>
    <xf borderId="9" fillId="0" fontId="11" numFmtId="164" xfId="0" applyAlignment="1" applyBorder="1" applyFont="1" applyNumberFormat="1">
      <alignment horizontal="right" shrinkToFit="0" wrapText="1"/>
    </xf>
    <xf borderId="9" fillId="0" fontId="11" numFmtId="166" xfId="0" applyAlignment="1" applyBorder="1" applyFont="1" applyNumberFormat="1">
      <alignment horizontal="right" shrinkToFit="0" wrapText="1"/>
    </xf>
    <xf borderId="9" fillId="0" fontId="11" numFmtId="165" xfId="0" applyAlignment="1" applyBorder="1" applyFont="1" applyNumberFormat="1">
      <alignment horizontal="right" shrinkToFit="0" wrapText="1"/>
    </xf>
    <xf borderId="9" fillId="0" fontId="11" numFmtId="166" xfId="0" applyAlignment="1" applyBorder="1" applyFont="1" applyNumberFormat="1">
      <alignment shrinkToFit="0" wrapText="1"/>
    </xf>
    <xf borderId="9" fillId="0" fontId="11" numFmtId="2" xfId="0" applyAlignment="1" applyBorder="1" applyFont="1" applyNumberFormat="1">
      <alignment shrinkToFit="0" wrapText="1"/>
    </xf>
    <xf borderId="9" fillId="0" fontId="10" numFmtId="166" xfId="0" applyAlignment="1" applyBorder="1" applyFont="1" applyNumberFormat="1">
      <alignment shrinkToFit="0" wrapText="1"/>
    </xf>
    <xf borderId="9" fillId="0" fontId="10" numFmtId="0" xfId="0" applyAlignment="1" applyBorder="1" applyFont="1">
      <alignment shrinkToFit="0" wrapText="1"/>
    </xf>
    <xf borderId="9" fillId="0" fontId="10" numFmtId="164" xfId="0" applyAlignment="1" applyBorder="1" applyFont="1" applyNumberFormat="1">
      <alignment horizontal="right" shrinkToFit="0" wrapText="1"/>
    </xf>
    <xf borderId="9" fillId="0" fontId="12" numFmtId="0" xfId="0" applyAlignment="1" applyBorder="1" applyFont="1">
      <alignment shrinkToFit="0" wrapText="1"/>
    </xf>
    <xf borderId="9" fillId="0" fontId="10" numFmtId="165" xfId="0" applyAlignment="1" applyBorder="1" applyFont="1" applyNumberFormat="1">
      <alignment shrinkToFit="0" wrapText="1"/>
    </xf>
    <xf borderId="9" fillId="0" fontId="10" numFmtId="165" xfId="0" applyAlignment="1" applyBorder="1" applyFont="1" applyNumberFormat="1">
      <alignment horizontal="right" shrinkToFit="0" wrapText="1"/>
    </xf>
    <xf borderId="9" fillId="0" fontId="10" numFmtId="166" xfId="0" applyAlignment="1" applyBorder="1" applyFont="1" applyNumberFormat="1">
      <alignment readingOrder="0" shrinkToFit="0" wrapText="1"/>
    </xf>
    <xf borderId="9" fillId="0" fontId="10" numFmtId="0" xfId="0" applyBorder="1" applyFont="1"/>
    <xf borderId="1" fillId="0" fontId="3" numFmtId="0" xfId="0" applyAlignment="1" applyBorder="1" applyFont="1">
      <alignment horizontal="center" readingOrder="0" shrinkToFit="0" wrapText="1"/>
    </xf>
    <xf borderId="9" fillId="0" fontId="5" numFmtId="166" xfId="0" applyAlignment="1" applyBorder="1" applyFont="1" applyNumberFormat="1">
      <alignment shrinkToFit="0" wrapText="1"/>
    </xf>
    <xf borderId="9" fillId="0" fontId="1" numFmtId="166" xfId="0" applyAlignment="1" applyBorder="1" applyFont="1" applyNumberFormat="1">
      <alignment readingOrder="0" shrinkToFit="0" wrapText="1"/>
    </xf>
    <xf borderId="9" fillId="0" fontId="1" numFmtId="0" xfId="0" applyBorder="1" applyFont="1"/>
    <xf borderId="5" fillId="3" fontId="3" numFmtId="0" xfId="0" applyAlignment="1" applyBorder="1" applyFont="1">
      <alignment horizontal="center" readingOrder="0" shrinkToFit="0" wrapText="1"/>
    </xf>
    <xf borderId="9" fillId="2" fontId="5" numFmtId="164" xfId="0" applyAlignment="1" applyBorder="1" applyFont="1" applyNumberFormat="1">
      <alignment horizontal="right" readingOrder="0" shrinkToFit="0" wrapText="1"/>
    </xf>
    <xf borderId="9" fillId="2" fontId="1" numFmtId="165" xfId="0" applyAlignment="1" applyBorder="1" applyFont="1" applyNumberFormat="1">
      <alignment shrinkToFit="0" wrapText="1"/>
    </xf>
    <xf borderId="9" fillId="0" fontId="5" numFmtId="165" xfId="0" applyAlignment="1" applyBorder="1" applyFont="1" applyNumberFormat="1">
      <alignment horizontal="right" readingOrder="0" shrinkToFit="0" wrapText="1"/>
    </xf>
    <xf borderId="9" fillId="0" fontId="1" numFmtId="165" xfId="0" applyAlignment="1" applyBorder="1" applyFont="1" applyNumberFormat="1">
      <alignment readingOrder="0" shrinkToFit="0" wrapText="1"/>
    </xf>
    <xf borderId="9" fillId="0" fontId="1" numFmtId="0" xfId="0" applyAlignment="1" applyBorder="1" applyFont="1">
      <alignment readingOrder="0" shrinkToFit="0" wrapText="1"/>
    </xf>
    <xf borderId="9" fillId="0" fontId="13" numFmtId="166" xfId="0" applyAlignment="1" applyBorder="1" applyFont="1" applyNumberFormat="1">
      <alignment readingOrder="0" shrinkToFit="0" wrapText="1"/>
    </xf>
    <xf borderId="9" fillId="0" fontId="14" numFmtId="165" xfId="0" applyAlignment="1" applyBorder="1" applyFont="1" applyNumberFormat="1">
      <alignment horizontal="right" readingOrder="0" shrinkToFit="0" wrapText="1"/>
    </xf>
    <xf borderId="0" fillId="0" fontId="15" numFmtId="166" xfId="0" applyFont="1" applyNumberFormat="1"/>
    <xf borderId="0" fillId="0" fontId="15" numFmtId="0" xfId="0" applyAlignment="1" applyFont="1">
      <alignment readingOrder="0"/>
    </xf>
    <xf borderId="0" fillId="0" fontId="15" numFmtId="166" xfId="0" applyAlignment="1" applyFont="1" applyNumberFormat="1">
      <alignment readingOrder="0"/>
    </xf>
    <xf borderId="9" fillId="0" fontId="5" numFmtId="0" xfId="0" applyAlignment="1" applyBorder="1" applyFont="1">
      <alignment readingOrder="0" shrinkToFit="0" wrapText="1"/>
    </xf>
    <xf borderId="9" fillId="2" fontId="9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horizontal="center" shrinkToFit="0" wrapText="1"/>
    </xf>
    <xf borderId="9" fillId="2" fontId="8" numFmtId="165" xfId="0" applyAlignment="1" applyBorder="1" applyFont="1" applyNumberFormat="1">
      <alignment shrinkToFit="0" wrapText="1"/>
    </xf>
    <xf borderId="9" fillId="0" fontId="8" numFmtId="166" xfId="0" applyAlignment="1" applyBorder="1" applyFont="1" applyNumberFormat="1">
      <alignment readingOrder="0" shrinkToFit="0" wrapText="1"/>
    </xf>
    <xf borderId="9" fillId="0" fontId="8" numFmtId="0" xfId="0" applyAlignment="1" applyBorder="1" applyFont="1">
      <alignment readingOrder="0" shrinkToFit="0" wrapText="1"/>
    </xf>
    <xf borderId="9" fillId="0" fontId="8" numFmtId="165" xfId="0" applyAlignment="1" applyBorder="1" applyFont="1" applyNumberFormat="1">
      <alignment shrinkToFit="0" wrapText="1"/>
    </xf>
    <xf borderId="9" fillId="2" fontId="9" numFmtId="164" xfId="0" applyAlignment="1" applyBorder="1" applyFont="1" applyNumberFormat="1">
      <alignment horizontal="right" readingOrder="0" shrinkToFit="0" wrapText="1"/>
    </xf>
    <xf borderId="9" fillId="0" fontId="8" numFmtId="165" xfId="0" applyAlignment="1" applyBorder="1" applyFont="1" applyNumberFormat="1">
      <alignment readingOrder="0" shrinkToFit="0" wrapText="1"/>
    </xf>
    <xf borderId="9" fillId="0" fontId="8" numFmtId="165" xfId="0" applyAlignment="1" applyBorder="1" applyFont="1" applyNumberFormat="1">
      <alignment horizontal="right" shrinkToFit="0" wrapText="1"/>
    </xf>
    <xf borderId="9" fillId="0" fontId="1" numFmtId="0" xfId="0" applyAlignment="1" applyBorder="1" applyFont="1">
      <alignment horizontal="right" readingOrder="0" shrinkToFit="0" wrapText="1"/>
    </xf>
    <xf borderId="9" fillId="2" fontId="14" numFmtId="164" xfId="0" applyAlignment="1" applyBorder="1" applyFont="1" applyNumberFormat="1">
      <alignment horizontal="right" readingOrder="0" shrinkToFit="0" wrapText="1"/>
    </xf>
    <xf borderId="9" fillId="3" fontId="5" numFmtId="164" xfId="0" applyAlignment="1" applyBorder="1" applyFont="1" applyNumberFormat="1">
      <alignment horizontal="right" readingOrder="0" shrinkToFit="0" wrapText="1"/>
    </xf>
    <xf borderId="9" fillId="0" fontId="5" numFmtId="164" xfId="0" applyAlignment="1" applyBorder="1" applyFont="1" applyNumberFormat="1">
      <alignment horizontal="right" readingOrder="0" shrinkToFit="0" wrapText="1"/>
    </xf>
    <xf borderId="9" fillId="0" fontId="9" numFmtId="164" xfId="0" applyAlignment="1" applyBorder="1" applyFont="1" applyNumberFormat="1">
      <alignment horizontal="right" shrinkToFit="0" wrapText="1"/>
    </xf>
    <xf borderId="9" fillId="0" fontId="9" numFmtId="16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1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2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3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4" width="8.71"/>
    <col customWidth="1" min="5" max="5" width="10.14"/>
    <col customWidth="1" min="6" max="6" width="11.29"/>
    <col customWidth="1" min="7" max="7" width="8.71"/>
    <col customWidth="1" min="8" max="8" width="11.29"/>
    <col customWidth="1" min="9" max="9" width="8.71"/>
    <col customWidth="1" min="10" max="10" width="13.14"/>
    <col customWidth="1" min="11" max="29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34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" t="s">
        <v>5</v>
      </c>
      <c r="B6" s="6"/>
      <c r="C6" s="6"/>
      <c r="D6" s="6"/>
      <c r="E6" s="6"/>
      <c r="F6" s="6"/>
      <c r="G6" s="6"/>
      <c r="H6" s="6"/>
      <c r="I6" s="6"/>
      <c r="J6" s="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4.75" customHeight="1">
      <c r="A8" s="11">
        <v>1.0</v>
      </c>
      <c r="B8" s="12" t="s">
        <v>16</v>
      </c>
      <c r="C8" s="13" t="s">
        <v>17</v>
      </c>
      <c r="D8" s="13" t="s">
        <v>18</v>
      </c>
      <c r="E8" s="14">
        <v>44844.0</v>
      </c>
      <c r="F8" s="15">
        <v>3500.0</v>
      </c>
      <c r="G8" s="16"/>
      <c r="H8" s="16">
        <f t="shared" ref="H8:H15" si="1">F8+G8</f>
        <v>3500</v>
      </c>
      <c r="I8" s="13"/>
      <c r="J8" s="16">
        <f t="shared" ref="J8:J15" si="2">G8+H8-I8</f>
        <v>3500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4.75" customHeight="1">
      <c r="A9" s="11">
        <v>2.0</v>
      </c>
      <c r="B9" s="12" t="s">
        <v>19</v>
      </c>
      <c r="C9" s="13" t="s">
        <v>17</v>
      </c>
      <c r="D9" s="13" t="s">
        <v>18</v>
      </c>
      <c r="E9" s="14">
        <v>44844.0</v>
      </c>
      <c r="F9" s="15">
        <v>5000.0</v>
      </c>
      <c r="G9" s="16"/>
      <c r="H9" s="16">
        <f t="shared" si="1"/>
        <v>5000</v>
      </c>
      <c r="I9" s="13"/>
      <c r="J9" s="16">
        <f t="shared" si="2"/>
        <v>5000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4.75" customHeight="1">
      <c r="A10" s="11">
        <v>3.0</v>
      </c>
      <c r="B10" s="12" t="s">
        <v>20</v>
      </c>
      <c r="C10" s="13" t="s">
        <v>17</v>
      </c>
      <c r="D10" s="13" t="s">
        <v>18</v>
      </c>
      <c r="E10" s="14">
        <v>44844.0</v>
      </c>
      <c r="F10" s="15">
        <v>5000.0</v>
      </c>
      <c r="G10" s="16"/>
      <c r="H10" s="16">
        <f t="shared" si="1"/>
        <v>5000</v>
      </c>
      <c r="I10" s="13"/>
      <c r="J10" s="16">
        <f t="shared" si="2"/>
        <v>5000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4.75" customHeight="1">
      <c r="A11" s="11">
        <v>4.0</v>
      </c>
      <c r="B11" s="12" t="s">
        <v>21</v>
      </c>
      <c r="C11" s="13" t="s">
        <v>22</v>
      </c>
      <c r="D11" s="13" t="s">
        <v>18</v>
      </c>
      <c r="E11" s="14">
        <v>44844.0</v>
      </c>
      <c r="F11" s="15">
        <v>5000.0</v>
      </c>
      <c r="G11" s="16"/>
      <c r="H11" s="16">
        <f t="shared" si="1"/>
        <v>5000</v>
      </c>
      <c r="I11" s="13"/>
      <c r="J11" s="16">
        <f t="shared" si="2"/>
        <v>5000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4.75" customHeight="1">
      <c r="A12" s="11">
        <v>5.0</v>
      </c>
      <c r="B12" s="12" t="s">
        <v>23</v>
      </c>
      <c r="C12" s="13" t="s">
        <v>17</v>
      </c>
      <c r="D12" s="13" t="s">
        <v>18</v>
      </c>
      <c r="E12" s="14">
        <v>44844.0</v>
      </c>
      <c r="F12" s="15">
        <v>100.0</v>
      </c>
      <c r="G12" s="16"/>
      <c r="H12" s="16">
        <f t="shared" si="1"/>
        <v>100</v>
      </c>
      <c r="I12" s="13"/>
      <c r="J12" s="16">
        <f t="shared" si="2"/>
        <v>100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4.75" customHeight="1">
      <c r="A13" s="11">
        <v>6.0</v>
      </c>
      <c r="B13" s="12" t="s">
        <v>24</v>
      </c>
      <c r="C13" s="13" t="s">
        <v>17</v>
      </c>
      <c r="D13" s="13" t="s">
        <v>18</v>
      </c>
      <c r="E13" s="14">
        <v>44844.0</v>
      </c>
      <c r="F13" s="15">
        <v>2000.0</v>
      </c>
      <c r="G13" s="16"/>
      <c r="H13" s="16">
        <f t="shared" si="1"/>
        <v>2000</v>
      </c>
      <c r="I13" s="13"/>
      <c r="J13" s="16">
        <f t="shared" si="2"/>
        <v>2000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4.75" customHeight="1">
      <c r="A14" s="11">
        <v>7.0</v>
      </c>
      <c r="B14" s="12" t="s">
        <v>25</v>
      </c>
      <c r="C14" s="13" t="s">
        <v>17</v>
      </c>
      <c r="D14" s="13" t="s">
        <v>18</v>
      </c>
      <c r="E14" s="14">
        <v>44844.0</v>
      </c>
      <c r="F14" s="15">
        <v>5000.0</v>
      </c>
      <c r="G14" s="16"/>
      <c r="H14" s="16">
        <f t="shared" si="1"/>
        <v>5000</v>
      </c>
      <c r="I14" s="13"/>
      <c r="J14" s="16">
        <f t="shared" si="2"/>
        <v>5000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4.75" customHeight="1">
      <c r="A15" s="11">
        <v>8.0</v>
      </c>
      <c r="B15" s="12" t="s">
        <v>26</v>
      </c>
      <c r="C15" s="13" t="s">
        <v>17</v>
      </c>
      <c r="D15" s="13" t="s">
        <v>18</v>
      </c>
      <c r="E15" s="14">
        <v>44844.0</v>
      </c>
      <c r="F15" s="15">
        <v>4000.0</v>
      </c>
      <c r="G15" s="16"/>
      <c r="H15" s="16">
        <f t="shared" si="1"/>
        <v>4000</v>
      </c>
      <c r="I15" s="13"/>
      <c r="J15" s="16">
        <f t="shared" si="2"/>
        <v>4000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7"/>
      <c r="B16" s="13"/>
      <c r="C16" s="13"/>
      <c r="D16" s="13"/>
      <c r="E16" s="13"/>
      <c r="F16" s="18">
        <f t="shared" ref="F16:H16" si="3">SUM(F8:F15)</f>
        <v>29600</v>
      </c>
      <c r="G16" s="18">
        <f t="shared" si="3"/>
        <v>0</v>
      </c>
      <c r="H16" s="18">
        <f t="shared" si="3"/>
        <v>29600</v>
      </c>
      <c r="I16" s="18">
        <v>0.0</v>
      </c>
      <c r="J16" s="18">
        <f>SUM(J8:J15)</f>
        <v>29600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J1"/>
    <mergeCell ref="A2:J2"/>
    <mergeCell ref="A3:J3"/>
    <mergeCell ref="A4:J4"/>
    <mergeCell ref="A5:J5"/>
    <mergeCell ref="A6:J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4" width="8.71"/>
    <col customWidth="1" min="5" max="5" width="10.14"/>
    <col customWidth="1" min="6" max="7" width="11.29"/>
    <col customWidth="1" min="8" max="8" width="8.71"/>
    <col customWidth="1" min="9" max="9" width="11.29"/>
    <col customWidth="1" min="10" max="10" width="8.71"/>
    <col customWidth="1" min="11" max="11" width="13.14"/>
    <col customWidth="1" min="12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8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34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" t="s">
        <v>27</v>
      </c>
      <c r="B6" s="6"/>
      <c r="C6" s="6"/>
      <c r="D6" s="6"/>
      <c r="E6" s="6"/>
      <c r="F6" s="6"/>
      <c r="G6" s="6"/>
      <c r="H6" s="6"/>
      <c r="I6" s="6"/>
      <c r="J6" s="6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28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24.75" customHeight="1">
      <c r="A8" s="11">
        <v>1.0</v>
      </c>
      <c r="B8" s="13" t="s">
        <v>16</v>
      </c>
      <c r="C8" s="13" t="s">
        <v>17</v>
      </c>
      <c r="D8" s="13" t="s">
        <v>18</v>
      </c>
      <c r="E8" s="14">
        <v>44844.0</v>
      </c>
      <c r="F8" s="15">
        <v>3500.0</v>
      </c>
      <c r="G8" s="15"/>
      <c r="H8" s="16">
        <f t="shared" ref="H8:H15" si="1">F8*0.83%</f>
        <v>29.05</v>
      </c>
      <c r="I8" s="16">
        <f t="shared" ref="I8:I16" si="2">F8+G8+H8</f>
        <v>3529.05</v>
      </c>
      <c r="J8" s="13"/>
      <c r="K8" s="16">
        <f t="shared" ref="K8:K16" si="3">I8-J8</f>
        <v>3529.05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.75" customHeight="1">
      <c r="A9" s="11">
        <v>2.0</v>
      </c>
      <c r="B9" s="13" t="s">
        <v>19</v>
      </c>
      <c r="C9" s="13" t="s">
        <v>17</v>
      </c>
      <c r="D9" s="13" t="s">
        <v>18</v>
      </c>
      <c r="E9" s="14">
        <v>44844.0</v>
      </c>
      <c r="F9" s="15">
        <v>5000.0</v>
      </c>
      <c r="G9" s="15">
        <v>500.0</v>
      </c>
      <c r="H9" s="16">
        <f t="shared" si="1"/>
        <v>41.5</v>
      </c>
      <c r="I9" s="16">
        <f t="shared" si="2"/>
        <v>5541.5</v>
      </c>
      <c r="J9" s="13"/>
      <c r="K9" s="16">
        <f t="shared" si="3"/>
        <v>5541.5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.75" customHeight="1">
      <c r="A10" s="11">
        <v>3.0</v>
      </c>
      <c r="B10" s="13" t="s">
        <v>20</v>
      </c>
      <c r="C10" s="13" t="s">
        <v>17</v>
      </c>
      <c r="D10" s="13" t="s">
        <v>18</v>
      </c>
      <c r="E10" s="14">
        <v>44844.0</v>
      </c>
      <c r="F10" s="15">
        <v>5000.0</v>
      </c>
      <c r="G10" s="15">
        <v>100.0</v>
      </c>
      <c r="H10" s="16">
        <f t="shared" si="1"/>
        <v>41.5</v>
      </c>
      <c r="I10" s="16">
        <f t="shared" si="2"/>
        <v>5141.5</v>
      </c>
      <c r="J10" s="13"/>
      <c r="K10" s="16">
        <f t="shared" si="3"/>
        <v>5141.5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4.75" customHeight="1">
      <c r="A11" s="11">
        <v>4.0</v>
      </c>
      <c r="B11" s="13" t="s">
        <v>21</v>
      </c>
      <c r="C11" s="13" t="s">
        <v>22</v>
      </c>
      <c r="D11" s="13" t="s">
        <v>18</v>
      </c>
      <c r="E11" s="14">
        <v>44844.0</v>
      </c>
      <c r="F11" s="15">
        <v>5000.0</v>
      </c>
      <c r="G11" s="15">
        <v>100.0</v>
      </c>
      <c r="H11" s="16">
        <f t="shared" si="1"/>
        <v>41.5</v>
      </c>
      <c r="I11" s="16">
        <f t="shared" si="2"/>
        <v>5141.5</v>
      </c>
      <c r="J11" s="13"/>
      <c r="K11" s="16">
        <f t="shared" si="3"/>
        <v>5141.5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4.75" customHeight="1">
      <c r="A12" s="11">
        <v>5.0</v>
      </c>
      <c r="B12" s="13" t="s">
        <v>23</v>
      </c>
      <c r="C12" s="13" t="s">
        <v>17</v>
      </c>
      <c r="D12" s="13" t="s">
        <v>18</v>
      </c>
      <c r="E12" s="14">
        <v>44844.0</v>
      </c>
      <c r="F12" s="15">
        <v>100.0</v>
      </c>
      <c r="G12" s="15"/>
      <c r="H12" s="16">
        <f t="shared" si="1"/>
        <v>0.83</v>
      </c>
      <c r="I12" s="16">
        <f t="shared" si="2"/>
        <v>100.83</v>
      </c>
      <c r="J12" s="13"/>
      <c r="K12" s="16">
        <f t="shared" si="3"/>
        <v>100.83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4.75" customHeight="1">
      <c r="A13" s="11">
        <v>6.0</v>
      </c>
      <c r="B13" s="13" t="s">
        <v>24</v>
      </c>
      <c r="C13" s="13" t="s">
        <v>17</v>
      </c>
      <c r="D13" s="13" t="s">
        <v>18</v>
      </c>
      <c r="E13" s="14">
        <v>44844.0</v>
      </c>
      <c r="F13" s="15">
        <v>2000.0</v>
      </c>
      <c r="G13" s="15">
        <v>50.17</v>
      </c>
      <c r="H13" s="16">
        <f t="shared" si="1"/>
        <v>16.6</v>
      </c>
      <c r="I13" s="16">
        <f t="shared" si="2"/>
        <v>2066.77</v>
      </c>
      <c r="J13" s="13"/>
      <c r="K13" s="16">
        <f t="shared" si="3"/>
        <v>2066.77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4.75" customHeight="1">
      <c r="A14" s="11">
        <v>7.0</v>
      </c>
      <c r="B14" s="13" t="s">
        <v>25</v>
      </c>
      <c r="C14" s="13" t="s">
        <v>17</v>
      </c>
      <c r="D14" s="13" t="s">
        <v>18</v>
      </c>
      <c r="E14" s="14">
        <v>44844.0</v>
      </c>
      <c r="F14" s="15">
        <v>5000.0</v>
      </c>
      <c r="G14" s="16">
        <v>50.8</v>
      </c>
      <c r="H14" s="16">
        <f t="shared" si="1"/>
        <v>41.5</v>
      </c>
      <c r="I14" s="16">
        <f t="shared" si="2"/>
        <v>5092.3</v>
      </c>
      <c r="J14" s="13"/>
      <c r="K14" s="16">
        <f t="shared" si="3"/>
        <v>5092.3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4.75" customHeight="1">
      <c r="A15" s="11">
        <v>8.0</v>
      </c>
      <c r="B15" s="13" t="s">
        <v>26</v>
      </c>
      <c r="C15" s="13" t="s">
        <v>17</v>
      </c>
      <c r="D15" s="13" t="s">
        <v>18</v>
      </c>
      <c r="E15" s="14">
        <v>44844.0</v>
      </c>
      <c r="F15" s="15">
        <v>4000.0</v>
      </c>
      <c r="G15" s="15">
        <v>100.0</v>
      </c>
      <c r="H15" s="16">
        <f t="shared" si="1"/>
        <v>33.2</v>
      </c>
      <c r="I15" s="16">
        <f t="shared" si="2"/>
        <v>4133.2</v>
      </c>
      <c r="J15" s="13"/>
      <c r="K15" s="16">
        <f t="shared" si="3"/>
        <v>4133.2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4.75" customHeight="1">
      <c r="A16" s="11">
        <v>9.0</v>
      </c>
      <c r="B16" s="13" t="s">
        <v>29</v>
      </c>
      <c r="C16" s="13" t="s">
        <v>17</v>
      </c>
      <c r="D16" s="13" t="s">
        <v>30</v>
      </c>
      <c r="E16" s="14">
        <v>44874.0</v>
      </c>
      <c r="F16" s="16">
        <v>50.0</v>
      </c>
      <c r="G16" s="16"/>
      <c r="H16" s="16"/>
      <c r="I16" s="16">
        <f t="shared" si="2"/>
        <v>50</v>
      </c>
      <c r="J16" s="13"/>
      <c r="K16" s="16">
        <f t="shared" si="3"/>
        <v>50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/>
      <c r="B17" s="13"/>
      <c r="C17" s="13"/>
      <c r="D17" s="13"/>
      <c r="E17" s="13"/>
      <c r="F17" s="18">
        <f t="shared" ref="F17:I17" si="4">SUM(F8:F16)</f>
        <v>29650</v>
      </c>
      <c r="G17" s="18">
        <f t="shared" si="4"/>
        <v>900.97</v>
      </c>
      <c r="H17" s="18">
        <f t="shared" si="4"/>
        <v>245.68</v>
      </c>
      <c r="I17" s="18">
        <f t="shared" si="4"/>
        <v>30796.65</v>
      </c>
      <c r="J17" s="18">
        <v>0.0</v>
      </c>
      <c r="K17" s="18">
        <f>SUM(K8:K16)</f>
        <v>30796.65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K3"/>
    <mergeCell ref="A4:K4"/>
    <mergeCell ref="A5:K5"/>
    <mergeCell ref="A6:K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4" width="8.71"/>
    <col customWidth="1" min="5" max="5" width="10.14"/>
    <col customWidth="1" min="6" max="7" width="11.29"/>
    <col customWidth="1" min="8" max="8" width="8.71"/>
    <col customWidth="1" min="9" max="9" width="11.29"/>
    <col customWidth="1" min="10" max="10" width="8.71"/>
    <col customWidth="1" min="11" max="11" width="13.14"/>
    <col customWidth="1" min="12" max="3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8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34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" t="s">
        <v>31</v>
      </c>
      <c r="B6" s="6"/>
      <c r="C6" s="6"/>
      <c r="D6" s="6"/>
      <c r="E6" s="6"/>
      <c r="F6" s="6"/>
      <c r="G6" s="6"/>
      <c r="H6" s="6"/>
      <c r="I6" s="6"/>
      <c r="J6" s="6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28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24.75" customHeight="1">
      <c r="A8" s="11">
        <v>1.0</v>
      </c>
      <c r="B8" s="13" t="s">
        <v>16</v>
      </c>
      <c r="C8" s="13" t="s">
        <v>17</v>
      </c>
      <c r="D8" s="13" t="s">
        <v>18</v>
      </c>
      <c r="E8" s="14">
        <v>44844.0</v>
      </c>
      <c r="F8" s="15">
        <f>'Saving monthly November-22'!K8</f>
        <v>3529.05</v>
      </c>
      <c r="G8" s="15">
        <v>0.07</v>
      </c>
      <c r="H8" s="16">
        <f t="shared" ref="H8:H16" si="1">F8*0.83%</f>
        <v>29.291115</v>
      </c>
      <c r="I8" s="16">
        <f t="shared" ref="I8:I16" si="2">F8+G8+H8</f>
        <v>3558.411115</v>
      </c>
      <c r="J8" s="13"/>
      <c r="K8" s="16">
        <f t="shared" ref="K8:K16" si="3">I8-J8</f>
        <v>3558.411115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.75" customHeight="1">
      <c r="A9" s="11">
        <v>2.0</v>
      </c>
      <c r="B9" s="13" t="s">
        <v>19</v>
      </c>
      <c r="C9" s="13" t="s">
        <v>17</v>
      </c>
      <c r="D9" s="13" t="s">
        <v>18</v>
      </c>
      <c r="E9" s="14">
        <v>44844.0</v>
      </c>
      <c r="F9" s="15">
        <f>'Saving monthly November-22'!K9</f>
        <v>5541.5</v>
      </c>
      <c r="G9" s="15"/>
      <c r="H9" s="16">
        <f t="shared" si="1"/>
        <v>45.99445</v>
      </c>
      <c r="I9" s="16">
        <f t="shared" si="2"/>
        <v>5587.49445</v>
      </c>
      <c r="J9" s="13"/>
      <c r="K9" s="16">
        <f t="shared" si="3"/>
        <v>5587.49445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.75" customHeight="1">
      <c r="A10" s="11">
        <v>3.0</v>
      </c>
      <c r="B10" s="13" t="s">
        <v>20</v>
      </c>
      <c r="C10" s="13" t="s">
        <v>17</v>
      </c>
      <c r="D10" s="13" t="s">
        <v>18</v>
      </c>
      <c r="E10" s="14">
        <v>44905.0</v>
      </c>
      <c r="F10" s="15">
        <f>'Saving monthly November-22'!K10</f>
        <v>5141.5</v>
      </c>
      <c r="G10" s="15">
        <v>100.0</v>
      </c>
      <c r="H10" s="16">
        <f t="shared" si="1"/>
        <v>42.67445</v>
      </c>
      <c r="I10" s="16">
        <f t="shared" si="2"/>
        <v>5284.17445</v>
      </c>
      <c r="J10" s="13"/>
      <c r="K10" s="16">
        <f t="shared" si="3"/>
        <v>5284.17445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4.75" customHeight="1">
      <c r="A11" s="11">
        <v>4.0</v>
      </c>
      <c r="B11" s="13" t="s">
        <v>21</v>
      </c>
      <c r="C11" s="13" t="s">
        <v>22</v>
      </c>
      <c r="D11" s="13" t="s">
        <v>18</v>
      </c>
      <c r="E11" s="14">
        <v>44844.0</v>
      </c>
      <c r="F11" s="15">
        <f>'Saving monthly November-22'!K11</f>
        <v>5141.5</v>
      </c>
      <c r="G11" s="15"/>
      <c r="H11" s="16">
        <f t="shared" si="1"/>
        <v>42.67445</v>
      </c>
      <c r="I11" s="16">
        <f t="shared" si="2"/>
        <v>5184.17445</v>
      </c>
      <c r="J11" s="13"/>
      <c r="K11" s="16">
        <f t="shared" si="3"/>
        <v>5184.17445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4.75" customHeight="1">
      <c r="A12" s="11">
        <v>5.0</v>
      </c>
      <c r="B12" s="13" t="s">
        <v>23</v>
      </c>
      <c r="C12" s="13" t="s">
        <v>17</v>
      </c>
      <c r="D12" s="13" t="s">
        <v>18</v>
      </c>
      <c r="E12" s="14">
        <v>44844.0</v>
      </c>
      <c r="F12" s="15">
        <f>'Saving monthly November-22'!K12</f>
        <v>100.83</v>
      </c>
      <c r="G12" s="15">
        <v>100.0</v>
      </c>
      <c r="H12" s="16">
        <f t="shared" si="1"/>
        <v>0.836889</v>
      </c>
      <c r="I12" s="16">
        <f t="shared" si="2"/>
        <v>201.666889</v>
      </c>
      <c r="J12" s="13"/>
      <c r="K12" s="16">
        <f t="shared" si="3"/>
        <v>201.666889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4.75" customHeight="1">
      <c r="A13" s="11">
        <v>6.0</v>
      </c>
      <c r="B13" s="13" t="s">
        <v>24</v>
      </c>
      <c r="C13" s="13" t="s">
        <v>17</v>
      </c>
      <c r="D13" s="13" t="s">
        <v>18</v>
      </c>
      <c r="E13" s="14">
        <v>44844.0</v>
      </c>
      <c r="F13" s="15">
        <f>'Saving monthly November-22'!K13</f>
        <v>2066.77</v>
      </c>
      <c r="G13" s="15">
        <v>31.9</v>
      </c>
      <c r="H13" s="16">
        <f t="shared" si="1"/>
        <v>17.154191</v>
      </c>
      <c r="I13" s="16">
        <f t="shared" si="2"/>
        <v>2115.824191</v>
      </c>
      <c r="J13" s="13"/>
      <c r="K13" s="16">
        <f t="shared" si="3"/>
        <v>2115.824191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4.75" customHeight="1">
      <c r="A14" s="11">
        <v>7.0</v>
      </c>
      <c r="B14" s="13" t="s">
        <v>25</v>
      </c>
      <c r="C14" s="13" t="s">
        <v>17</v>
      </c>
      <c r="D14" s="13" t="s">
        <v>18</v>
      </c>
      <c r="E14" s="14">
        <v>44844.0</v>
      </c>
      <c r="F14" s="15">
        <v>5092.3</v>
      </c>
      <c r="G14" s="15">
        <v>54.12</v>
      </c>
      <c r="H14" s="16">
        <f t="shared" si="1"/>
        <v>42.26609</v>
      </c>
      <c r="I14" s="16">
        <f t="shared" si="2"/>
        <v>5188.68609</v>
      </c>
      <c r="J14" s="13"/>
      <c r="K14" s="16">
        <f t="shared" si="3"/>
        <v>5188.68609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4.75" customHeight="1">
      <c r="A15" s="11">
        <v>8.0</v>
      </c>
      <c r="B15" s="13" t="s">
        <v>26</v>
      </c>
      <c r="C15" s="13" t="s">
        <v>17</v>
      </c>
      <c r="D15" s="13" t="s">
        <v>18</v>
      </c>
      <c r="E15" s="14">
        <v>44844.0</v>
      </c>
      <c r="F15" s="15">
        <f>'Saving monthly November-22'!K15</f>
        <v>4133.2</v>
      </c>
      <c r="G15" s="15">
        <v>200.0</v>
      </c>
      <c r="H15" s="16">
        <f t="shared" si="1"/>
        <v>34.30556</v>
      </c>
      <c r="I15" s="16">
        <f t="shared" si="2"/>
        <v>4367.50556</v>
      </c>
      <c r="J15" s="13"/>
      <c r="K15" s="16">
        <f t="shared" si="3"/>
        <v>4367.50556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4.75" customHeight="1">
      <c r="A16" s="11">
        <v>9.0</v>
      </c>
      <c r="B16" s="13" t="s">
        <v>29</v>
      </c>
      <c r="C16" s="13" t="s">
        <v>17</v>
      </c>
      <c r="D16" s="13" t="s">
        <v>30</v>
      </c>
      <c r="E16" s="14">
        <v>44874.0</v>
      </c>
      <c r="F16" s="16">
        <v>50.0</v>
      </c>
      <c r="G16" s="16">
        <v>50.0</v>
      </c>
      <c r="H16" s="16">
        <f t="shared" si="1"/>
        <v>0.415</v>
      </c>
      <c r="I16" s="16">
        <f t="shared" si="2"/>
        <v>100.415</v>
      </c>
      <c r="J16" s="13"/>
      <c r="K16" s="16">
        <f t="shared" si="3"/>
        <v>100.415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/>
      <c r="B17" s="13"/>
      <c r="C17" s="13"/>
      <c r="D17" s="13"/>
      <c r="E17" s="13"/>
      <c r="F17" s="18">
        <f t="shared" ref="F17:I17" si="4">SUM(F8:F16)</f>
        <v>30796.65</v>
      </c>
      <c r="G17" s="18">
        <f t="shared" si="4"/>
        <v>536.09</v>
      </c>
      <c r="H17" s="18">
        <f t="shared" si="4"/>
        <v>255.612195</v>
      </c>
      <c r="I17" s="18">
        <f t="shared" si="4"/>
        <v>31588.3522</v>
      </c>
      <c r="J17" s="18">
        <v>0.0</v>
      </c>
      <c r="K17" s="18">
        <f>SUM(K8:K16)</f>
        <v>31588.3522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K3"/>
    <mergeCell ref="A4:K4"/>
    <mergeCell ref="A5:K5"/>
    <mergeCell ref="A6:K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4" width="8.71"/>
    <col customWidth="1" min="5" max="5" width="10.14"/>
    <col customWidth="1" min="6" max="7" width="11.29"/>
    <col customWidth="1" min="8" max="8" width="8.71"/>
    <col customWidth="1" min="9" max="9" width="11.29"/>
    <col customWidth="1" min="10" max="10" width="8.71"/>
    <col customWidth="1" min="11" max="11" width="13.14"/>
    <col customWidth="1" min="12" max="29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34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" t="s">
        <v>32</v>
      </c>
      <c r="B6" s="6"/>
      <c r="C6" s="6"/>
      <c r="D6" s="6"/>
      <c r="E6" s="6"/>
      <c r="F6" s="6"/>
      <c r="G6" s="6"/>
      <c r="H6" s="6"/>
      <c r="I6" s="6"/>
      <c r="J6" s="6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28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4.75" customHeight="1">
      <c r="A8" s="11">
        <v>1.0</v>
      </c>
      <c r="B8" s="13" t="s">
        <v>16</v>
      </c>
      <c r="C8" s="13" t="s">
        <v>17</v>
      </c>
      <c r="D8" s="13" t="s">
        <v>18</v>
      </c>
      <c r="E8" s="14">
        <v>44928.0</v>
      </c>
      <c r="F8" s="15">
        <v>3558.4111150000003</v>
      </c>
      <c r="G8" s="15">
        <v>44.81</v>
      </c>
      <c r="H8" s="16">
        <f t="shared" ref="H8:H16" si="1">F8*0.83%</f>
        <v>29.53481225</v>
      </c>
      <c r="I8" s="16">
        <f t="shared" ref="I8:I20" si="2">F8+G8+H8</f>
        <v>3632.755927</v>
      </c>
      <c r="J8" s="13"/>
      <c r="K8" s="16">
        <f t="shared" ref="K8:K20" si="3">I8-J8</f>
        <v>3632.755927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4.75" customHeight="1">
      <c r="A9" s="11">
        <v>2.0</v>
      </c>
      <c r="B9" s="13" t="s">
        <v>33</v>
      </c>
      <c r="C9" s="13" t="s">
        <v>17</v>
      </c>
      <c r="D9" s="13" t="s">
        <v>18</v>
      </c>
      <c r="E9" s="14">
        <v>44936.0</v>
      </c>
      <c r="F9" s="15">
        <v>5587.49445</v>
      </c>
      <c r="G9" s="15">
        <v>100.0</v>
      </c>
      <c r="H9" s="16">
        <f t="shared" si="1"/>
        <v>46.37620394</v>
      </c>
      <c r="I9" s="16">
        <f t="shared" si="2"/>
        <v>5733.870654</v>
      </c>
      <c r="J9" s="13"/>
      <c r="K9" s="16">
        <f t="shared" si="3"/>
        <v>5733.870654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4.75" customHeight="1">
      <c r="A10" s="11">
        <v>3.0</v>
      </c>
      <c r="B10" s="13" t="s">
        <v>34</v>
      </c>
      <c r="C10" s="13" t="s">
        <v>17</v>
      </c>
      <c r="D10" s="13" t="s">
        <v>18</v>
      </c>
      <c r="E10" s="14">
        <v>44937.0</v>
      </c>
      <c r="F10" s="15">
        <v>5284.17445</v>
      </c>
      <c r="G10" s="15">
        <v>100.0</v>
      </c>
      <c r="H10" s="16">
        <f t="shared" si="1"/>
        <v>43.85864794</v>
      </c>
      <c r="I10" s="16">
        <f t="shared" si="2"/>
        <v>5428.033098</v>
      </c>
      <c r="J10" s="13"/>
      <c r="K10" s="16">
        <f t="shared" si="3"/>
        <v>5428.033098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4.75" customHeight="1">
      <c r="A11" s="11">
        <v>4.0</v>
      </c>
      <c r="B11" s="13" t="s">
        <v>35</v>
      </c>
      <c r="C11" s="13" t="s">
        <v>22</v>
      </c>
      <c r="D11" s="13" t="s">
        <v>18</v>
      </c>
      <c r="E11" s="14">
        <v>44844.0</v>
      </c>
      <c r="F11" s="15">
        <v>5184.17445</v>
      </c>
      <c r="G11" s="15"/>
      <c r="H11" s="16">
        <f t="shared" si="1"/>
        <v>43.02864794</v>
      </c>
      <c r="I11" s="16">
        <f t="shared" si="2"/>
        <v>5227.203098</v>
      </c>
      <c r="J11" s="13"/>
      <c r="K11" s="16">
        <f t="shared" si="3"/>
        <v>5227.203098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4.75" customHeight="1">
      <c r="A12" s="11">
        <v>5.0</v>
      </c>
      <c r="B12" s="13" t="s">
        <v>36</v>
      </c>
      <c r="C12" s="13" t="s">
        <v>17</v>
      </c>
      <c r="D12" s="13" t="s">
        <v>18</v>
      </c>
      <c r="E12" s="14">
        <v>44844.0</v>
      </c>
      <c r="F12" s="15">
        <v>201.666889</v>
      </c>
      <c r="G12" s="15"/>
      <c r="H12" s="16">
        <f t="shared" si="1"/>
        <v>1.673835179</v>
      </c>
      <c r="I12" s="16">
        <f t="shared" si="2"/>
        <v>203.3407242</v>
      </c>
      <c r="J12" s="13"/>
      <c r="K12" s="16">
        <f t="shared" si="3"/>
        <v>203.3407242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4.75" customHeight="1">
      <c r="A13" s="11">
        <v>6.0</v>
      </c>
      <c r="B13" s="13" t="s">
        <v>37</v>
      </c>
      <c r="C13" s="13" t="s">
        <v>17</v>
      </c>
      <c r="D13" s="13" t="s">
        <v>18</v>
      </c>
      <c r="E13" s="14">
        <v>44936.0</v>
      </c>
      <c r="F13" s="15">
        <v>2115.824191</v>
      </c>
      <c r="G13" s="15">
        <v>33.63</v>
      </c>
      <c r="H13" s="16">
        <f t="shared" si="1"/>
        <v>17.56134079</v>
      </c>
      <c r="I13" s="16">
        <f t="shared" si="2"/>
        <v>2167.015532</v>
      </c>
      <c r="J13" s="13"/>
      <c r="K13" s="16">
        <f t="shared" si="3"/>
        <v>2167.015532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4.75" customHeight="1">
      <c r="A14" s="11">
        <v>7.0</v>
      </c>
      <c r="B14" s="13" t="s">
        <v>38</v>
      </c>
      <c r="C14" s="13" t="s">
        <v>17</v>
      </c>
      <c r="D14" s="13" t="s">
        <v>18</v>
      </c>
      <c r="E14" s="14">
        <v>44936.0</v>
      </c>
      <c r="F14" s="15">
        <v>5188.68609</v>
      </c>
      <c r="G14" s="15">
        <v>57.44</v>
      </c>
      <c r="H14" s="16">
        <f t="shared" si="1"/>
        <v>43.06609455</v>
      </c>
      <c r="I14" s="16">
        <f t="shared" si="2"/>
        <v>5289.192185</v>
      </c>
      <c r="J14" s="13"/>
      <c r="K14" s="16">
        <f t="shared" si="3"/>
        <v>5289.192185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4.75" customHeight="1">
      <c r="A15" s="11">
        <v>8.0</v>
      </c>
      <c r="B15" s="13" t="s">
        <v>39</v>
      </c>
      <c r="C15" s="13" t="s">
        <v>17</v>
      </c>
      <c r="D15" s="13" t="s">
        <v>18</v>
      </c>
      <c r="E15" s="14">
        <v>44935.0</v>
      </c>
      <c r="F15" s="15">
        <v>4367.50556</v>
      </c>
      <c r="G15" s="15">
        <v>223.0</v>
      </c>
      <c r="H15" s="16">
        <f t="shared" si="1"/>
        <v>36.25029615</v>
      </c>
      <c r="I15" s="16">
        <f t="shared" si="2"/>
        <v>4626.755856</v>
      </c>
      <c r="J15" s="13"/>
      <c r="K15" s="16">
        <f t="shared" si="3"/>
        <v>4626.755856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4.75" customHeight="1">
      <c r="A16" s="11">
        <v>9.0</v>
      </c>
      <c r="B16" s="13" t="s">
        <v>40</v>
      </c>
      <c r="C16" s="13" t="s">
        <v>17</v>
      </c>
      <c r="D16" s="13" t="s">
        <v>30</v>
      </c>
      <c r="E16" s="14">
        <v>44936.0</v>
      </c>
      <c r="F16" s="16">
        <v>100.415</v>
      </c>
      <c r="G16" s="16">
        <v>50.0</v>
      </c>
      <c r="H16" s="16">
        <f t="shared" si="1"/>
        <v>0.8334445</v>
      </c>
      <c r="I16" s="16">
        <f t="shared" si="2"/>
        <v>151.2484445</v>
      </c>
      <c r="J16" s="13"/>
      <c r="K16" s="16">
        <f t="shared" si="3"/>
        <v>151.2484445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4.75" customHeight="1">
      <c r="A17" s="11">
        <v>10.0</v>
      </c>
      <c r="B17" s="13" t="s">
        <v>41</v>
      </c>
      <c r="C17" s="13" t="s">
        <v>17</v>
      </c>
      <c r="D17" s="13" t="s">
        <v>30</v>
      </c>
      <c r="E17" s="14">
        <v>44941.0</v>
      </c>
      <c r="F17" s="16">
        <v>5.0</v>
      </c>
      <c r="G17" s="13"/>
      <c r="H17" s="16"/>
      <c r="I17" s="16">
        <f t="shared" si="2"/>
        <v>5</v>
      </c>
      <c r="J17" s="13"/>
      <c r="K17" s="16">
        <f t="shared" si="3"/>
        <v>5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4.75" customHeight="1">
      <c r="A18" s="11">
        <v>11.0</v>
      </c>
      <c r="B18" s="13" t="s">
        <v>42</v>
      </c>
      <c r="C18" s="13" t="s">
        <v>22</v>
      </c>
      <c r="D18" s="13" t="s">
        <v>30</v>
      </c>
      <c r="E18" s="14">
        <v>44950.0</v>
      </c>
      <c r="F18" s="16">
        <v>20.0</v>
      </c>
      <c r="G18" s="13"/>
      <c r="H18" s="16"/>
      <c r="I18" s="16">
        <f t="shared" si="2"/>
        <v>20</v>
      </c>
      <c r="J18" s="13"/>
      <c r="K18" s="16">
        <f t="shared" si="3"/>
        <v>20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4.75" customHeight="1">
      <c r="A19" s="11">
        <v>12.0</v>
      </c>
      <c r="B19" s="13" t="s">
        <v>43</v>
      </c>
      <c r="C19" s="13"/>
      <c r="D19" s="13" t="s">
        <v>30</v>
      </c>
      <c r="E19" s="14">
        <v>44951.0</v>
      </c>
      <c r="F19" s="16">
        <v>10.0</v>
      </c>
      <c r="G19" s="13"/>
      <c r="H19" s="16"/>
      <c r="I19" s="16">
        <f t="shared" si="2"/>
        <v>10</v>
      </c>
      <c r="J19" s="13"/>
      <c r="K19" s="16">
        <f t="shared" si="3"/>
        <v>10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4.75" customHeight="1">
      <c r="A20" s="11">
        <v>13.0</v>
      </c>
      <c r="B20" s="13" t="s">
        <v>44</v>
      </c>
      <c r="C20" s="13" t="s">
        <v>22</v>
      </c>
      <c r="D20" s="13" t="s">
        <v>30</v>
      </c>
      <c r="E20" s="14">
        <v>44957.0</v>
      </c>
      <c r="F20" s="16">
        <v>15.0</v>
      </c>
      <c r="G20" s="13"/>
      <c r="H20" s="16"/>
      <c r="I20" s="16">
        <f t="shared" si="2"/>
        <v>15</v>
      </c>
      <c r="J20" s="13"/>
      <c r="K20" s="16">
        <f t="shared" si="3"/>
        <v>15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11"/>
      <c r="B21" s="13"/>
      <c r="C21" s="13"/>
      <c r="D21" s="13"/>
      <c r="E21" s="13"/>
      <c r="F21" s="13"/>
      <c r="G21" s="13"/>
      <c r="H21" s="16"/>
      <c r="I21" s="16"/>
      <c r="J21" s="13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17"/>
      <c r="B22" s="13"/>
      <c r="C22" s="13"/>
      <c r="D22" s="13"/>
      <c r="E22" s="13"/>
      <c r="F22" s="18">
        <f>SUM(F8:F20)</f>
        <v>31638.3522</v>
      </c>
      <c r="G22" s="18">
        <f t="shared" ref="G22:H22" si="4">SUM(G8:G17)</f>
        <v>608.88</v>
      </c>
      <c r="H22" s="18">
        <f t="shared" si="4"/>
        <v>262.1833232</v>
      </c>
      <c r="I22" s="18">
        <f>SUM(I8:I20)</f>
        <v>32509.41552</v>
      </c>
      <c r="J22" s="18">
        <f>SUM(J8:J17)</f>
        <v>0</v>
      </c>
      <c r="K22" s="18">
        <f>SUM(K8:K20)</f>
        <v>32509.41552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"/>
      <c r="B24" s="4"/>
      <c r="C24" s="4"/>
      <c r="D24" s="4"/>
      <c r="E24" s="4"/>
      <c r="F24" s="1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K3"/>
    <mergeCell ref="A4:K4"/>
    <mergeCell ref="A5:K5"/>
    <mergeCell ref="A6:K6"/>
  </mergeCells>
  <printOptions/>
  <pageMargins bottom="0.0" footer="0.0" header="0.0" left="0.7" right="0.7" top="0.2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4" width="8.71"/>
    <col customWidth="1" min="5" max="5" width="10.14"/>
    <col customWidth="1" min="6" max="7" width="11.29"/>
    <col customWidth="1" min="8" max="8" width="8.71"/>
    <col customWidth="1" min="9" max="9" width="11.29"/>
    <col customWidth="1" min="10" max="10" width="8.71"/>
    <col customWidth="1" min="11" max="11" width="13.14"/>
    <col customWidth="1" min="12" max="29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34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" t="s">
        <v>45</v>
      </c>
      <c r="B6" s="6"/>
      <c r="C6" s="6"/>
      <c r="D6" s="6"/>
      <c r="E6" s="6"/>
      <c r="F6" s="6"/>
      <c r="G6" s="6"/>
      <c r="H6" s="6"/>
      <c r="I6" s="6"/>
      <c r="J6" s="6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28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4.75" customHeight="1">
      <c r="A8" s="11">
        <v>1.0</v>
      </c>
      <c r="B8" s="13" t="s">
        <v>46</v>
      </c>
      <c r="C8" s="13" t="s">
        <v>17</v>
      </c>
      <c r="D8" s="13" t="s">
        <v>18</v>
      </c>
      <c r="E8" s="14">
        <v>44972.0</v>
      </c>
      <c r="F8" s="15">
        <v>3632.7559272545004</v>
      </c>
      <c r="G8" s="15">
        <v>30.54</v>
      </c>
      <c r="H8" s="16">
        <f t="shared" ref="H8:H15" si="1">F8*0.83%</f>
        <v>30.1518742</v>
      </c>
      <c r="I8" s="16">
        <f t="shared" ref="I8:I28" si="2">F8+G8+H8</f>
        <v>3693.447801</v>
      </c>
      <c r="J8" s="13"/>
      <c r="K8" s="16">
        <f t="shared" ref="K8:K28" si="3">I8-J8</f>
        <v>3693.447801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4.75" customHeight="1">
      <c r="A9" s="11">
        <v>2.0</v>
      </c>
      <c r="B9" s="13" t="s">
        <v>19</v>
      </c>
      <c r="C9" s="13" t="s">
        <v>17</v>
      </c>
      <c r="D9" s="13" t="s">
        <v>18</v>
      </c>
      <c r="E9" s="14">
        <v>44844.0</v>
      </c>
      <c r="F9" s="15">
        <v>5733.8706539350005</v>
      </c>
      <c r="G9" s="15"/>
      <c r="H9" s="16">
        <f t="shared" si="1"/>
        <v>47.59112643</v>
      </c>
      <c r="I9" s="16">
        <f t="shared" si="2"/>
        <v>5781.46178</v>
      </c>
      <c r="J9" s="13"/>
      <c r="K9" s="16">
        <f t="shared" si="3"/>
        <v>5781.46178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4.75" customHeight="1">
      <c r="A10" s="11">
        <v>3.0</v>
      </c>
      <c r="B10" s="13" t="s">
        <v>34</v>
      </c>
      <c r="C10" s="13" t="s">
        <v>17</v>
      </c>
      <c r="D10" s="13" t="s">
        <v>18</v>
      </c>
      <c r="E10" s="14">
        <v>44971.0</v>
      </c>
      <c r="F10" s="15">
        <v>5428.033097935</v>
      </c>
      <c r="G10" s="15">
        <v>50.0</v>
      </c>
      <c r="H10" s="16">
        <f t="shared" si="1"/>
        <v>45.05267471</v>
      </c>
      <c r="I10" s="16">
        <f t="shared" si="2"/>
        <v>5523.085773</v>
      </c>
      <c r="J10" s="13"/>
      <c r="K10" s="16">
        <f t="shared" si="3"/>
        <v>5523.085773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4.75" customHeight="1">
      <c r="A11" s="11">
        <v>4.0</v>
      </c>
      <c r="B11" s="13" t="s">
        <v>21</v>
      </c>
      <c r="C11" s="13" t="s">
        <v>22</v>
      </c>
      <c r="D11" s="13" t="s">
        <v>18</v>
      </c>
      <c r="E11" s="14">
        <v>44844.0</v>
      </c>
      <c r="F11" s="15">
        <v>5227.203097935</v>
      </c>
      <c r="G11" s="15"/>
      <c r="H11" s="16">
        <f t="shared" si="1"/>
        <v>43.38578571</v>
      </c>
      <c r="I11" s="16">
        <f t="shared" si="2"/>
        <v>5270.588884</v>
      </c>
      <c r="J11" s="13"/>
      <c r="K11" s="16">
        <f t="shared" si="3"/>
        <v>5270.588884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4.75" customHeight="1">
      <c r="A12" s="11">
        <v>5.0</v>
      </c>
      <c r="B12" s="13" t="s">
        <v>36</v>
      </c>
      <c r="C12" s="13" t="s">
        <v>17</v>
      </c>
      <c r="D12" s="13" t="s">
        <v>18</v>
      </c>
      <c r="E12" s="14">
        <v>44964.0</v>
      </c>
      <c r="F12" s="15">
        <v>203.3407241787</v>
      </c>
      <c r="G12" s="15">
        <v>50.0</v>
      </c>
      <c r="H12" s="16">
        <f t="shared" si="1"/>
        <v>1.687728011</v>
      </c>
      <c r="I12" s="16">
        <f t="shared" si="2"/>
        <v>255.0284522</v>
      </c>
      <c r="J12" s="13"/>
      <c r="K12" s="16">
        <f t="shared" si="3"/>
        <v>255.0284522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4.75" customHeight="1">
      <c r="A13" s="11">
        <v>6.0</v>
      </c>
      <c r="B13" s="13" t="s">
        <v>47</v>
      </c>
      <c r="C13" s="13" t="s">
        <v>17</v>
      </c>
      <c r="D13" s="13" t="s">
        <v>18</v>
      </c>
      <c r="E13" s="14">
        <v>44967.0</v>
      </c>
      <c r="F13" s="15">
        <v>2167.0155317853005</v>
      </c>
      <c r="G13" s="15">
        <v>5.36</v>
      </c>
      <c r="H13" s="16">
        <f t="shared" si="1"/>
        <v>17.98622891</v>
      </c>
      <c r="I13" s="16">
        <f t="shared" si="2"/>
        <v>2190.361761</v>
      </c>
      <c r="J13" s="13"/>
      <c r="K13" s="16">
        <f t="shared" si="3"/>
        <v>2190.361761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4.75" customHeight="1">
      <c r="A14" s="11">
        <v>7.0</v>
      </c>
      <c r="B14" s="13" t="s">
        <v>25</v>
      </c>
      <c r="C14" s="13" t="s">
        <v>17</v>
      </c>
      <c r="D14" s="13" t="s">
        <v>18</v>
      </c>
      <c r="E14" s="14">
        <v>44968.0</v>
      </c>
      <c r="F14" s="15">
        <v>5289.192184547</v>
      </c>
      <c r="G14" s="15">
        <v>60.76</v>
      </c>
      <c r="H14" s="16">
        <f t="shared" si="1"/>
        <v>43.90029513</v>
      </c>
      <c r="I14" s="16">
        <f t="shared" si="2"/>
        <v>5393.85248</v>
      </c>
      <c r="J14" s="13"/>
      <c r="K14" s="16">
        <f t="shared" si="3"/>
        <v>5393.85248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4.75" customHeight="1">
      <c r="A15" s="11">
        <v>8.0</v>
      </c>
      <c r="B15" s="13" t="s">
        <v>48</v>
      </c>
      <c r="C15" s="13" t="s">
        <v>17</v>
      </c>
      <c r="D15" s="13" t="s">
        <v>18</v>
      </c>
      <c r="E15" s="14">
        <v>44967.0</v>
      </c>
      <c r="F15" s="15">
        <v>4626.755856148</v>
      </c>
      <c r="G15" s="15">
        <v>100.0</v>
      </c>
      <c r="H15" s="16">
        <f t="shared" si="1"/>
        <v>38.40207361</v>
      </c>
      <c r="I15" s="16">
        <f t="shared" si="2"/>
        <v>4765.15793</v>
      </c>
      <c r="J15" s="13"/>
      <c r="K15" s="16">
        <f t="shared" si="3"/>
        <v>4765.15793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4.75" customHeight="1">
      <c r="A16" s="11">
        <v>9.0</v>
      </c>
      <c r="B16" s="13" t="s">
        <v>49</v>
      </c>
      <c r="C16" s="13" t="s">
        <v>17</v>
      </c>
      <c r="D16" s="13" t="s">
        <v>30</v>
      </c>
      <c r="E16" s="14">
        <v>44958.0</v>
      </c>
      <c r="F16" s="15">
        <v>5.0</v>
      </c>
      <c r="G16" s="15"/>
      <c r="H16" s="16"/>
      <c r="I16" s="16">
        <f t="shared" si="2"/>
        <v>5</v>
      </c>
      <c r="J16" s="13"/>
      <c r="K16" s="16">
        <f t="shared" si="3"/>
        <v>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4.75" customHeight="1">
      <c r="A17" s="11">
        <v>10.0</v>
      </c>
      <c r="B17" s="13" t="s">
        <v>50</v>
      </c>
      <c r="C17" s="13" t="s">
        <v>22</v>
      </c>
      <c r="D17" s="13" t="s">
        <v>30</v>
      </c>
      <c r="E17" s="14">
        <v>44958.0</v>
      </c>
      <c r="F17" s="15">
        <v>20.0</v>
      </c>
      <c r="G17" s="15"/>
      <c r="H17" s="16"/>
      <c r="I17" s="16">
        <f t="shared" si="2"/>
        <v>20</v>
      </c>
      <c r="J17" s="13"/>
      <c r="K17" s="16">
        <f t="shared" si="3"/>
        <v>20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4.75" customHeight="1">
      <c r="A18" s="11">
        <v>11.0</v>
      </c>
      <c r="B18" s="13" t="s">
        <v>51</v>
      </c>
      <c r="C18" s="13"/>
      <c r="D18" s="13" t="s">
        <v>30</v>
      </c>
      <c r="E18" s="14">
        <v>44958.0</v>
      </c>
      <c r="F18" s="15">
        <v>10.0</v>
      </c>
      <c r="G18" s="15"/>
      <c r="H18" s="16"/>
      <c r="I18" s="16">
        <f t="shared" si="2"/>
        <v>10</v>
      </c>
      <c r="J18" s="13"/>
      <c r="K18" s="16">
        <f t="shared" si="3"/>
        <v>10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4.75" customHeight="1">
      <c r="A19" s="11">
        <v>12.0</v>
      </c>
      <c r="B19" s="13" t="s">
        <v>52</v>
      </c>
      <c r="C19" s="13"/>
      <c r="D19" s="13" t="s">
        <v>30</v>
      </c>
      <c r="E19" s="14">
        <v>44967.0</v>
      </c>
      <c r="F19" s="15">
        <v>50.0</v>
      </c>
      <c r="G19" s="15"/>
      <c r="H19" s="16"/>
      <c r="I19" s="16">
        <f t="shared" si="2"/>
        <v>50</v>
      </c>
      <c r="J19" s="13"/>
      <c r="K19" s="16">
        <f t="shared" si="3"/>
        <v>50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4.75" customHeight="1">
      <c r="A20" s="11">
        <v>13.0</v>
      </c>
      <c r="B20" s="13" t="s">
        <v>53</v>
      </c>
      <c r="C20" s="13"/>
      <c r="D20" s="13" t="s">
        <v>30</v>
      </c>
      <c r="E20" s="14">
        <v>44967.0</v>
      </c>
      <c r="F20" s="15">
        <v>20.0</v>
      </c>
      <c r="G20" s="15"/>
      <c r="H20" s="16"/>
      <c r="I20" s="16">
        <f t="shared" si="2"/>
        <v>20</v>
      </c>
      <c r="J20" s="13"/>
      <c r="K20" s="16">
        <f t="shared" si="3"/>
        <v>20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4.75" customHeight="1">
      <c r="A21" s="11">
        <v>14.0</v>
      </c>
      <c r="B21" s="13" t="s">
        <v>54</v>
      </c>
      <c r="C21" s="13" t="s">
        <v>17</v>
      </c>
      <c r="D21" s="13" t="s">
        <v>30</v>
      </c>
      <c r="E21" s="14">
        <v>44970.0</v>
      </c>
      <c r="F21" s="15">
        <v>100.0</v>
      </c>
      <c r="G21" s="15"/>
      <c r="H21" s="16"/>
      <c r="I21" s="16">
        <f t="shared" si="2"/>
        <v>100</v>
      </c>
      <c r="J21" s="13"/>
      <c r="K21" s="16">
        <f t="shared" si="3"/>
        <v>100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4.75" customHeight="1">
      <c r="A22" s="11">
        <v>15.0</v>
      </c>
      <c r="B22" s="13" t="s">
        <v>55</v>
      </c>
      <c r="C22" s="13"/>
      <c r="D22" s="13" t="s">
        <v>30</v>
      </c>
      <c r="E22" s="14">
        <v>44975.0</v>
      </c>
      <c r="F22" s="15">
        <v>10.0</v>
      </c>
      <c r="G22" s="15"/>
      <c r="H22" s="16"/>
      <c r="I22" s="16">
        <f t="shared" si="2"/>
        <v>10</v>
      </c>
      <c r="J22" s="13"/>
      <c r="K22" s="16">
        <f t="shared" si="3"/>
        <v>10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4.75" customHeight="1">
      <c r="A23" s="11">
        <v>16.0</v>
      </c>
      <c r="B23" s="13" t="s">
        <v>56</v>
      </c>
      <c r="C23" s="13"/>
      <c r="D23" s="13" t="s">
        <v>30</v>
      </c>
      <c r="E23" s="14">
        <v>44978.0</v>
      </c>
      <c r="F23" s="15">
        <v>20.0</v>
      </c>
      <c r="G23" s="15"/>
      <c r="H23" s="16"/>
      <c r="I23" s="16">
        <f t="shared" si="2"/>
        <v>20</v>
      </c>
      <c r="J23" s="13"/>
      <c r="K23" s="16">
        <f t="shared" si="3"/>
        <v>20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24.75" customHeight="1">
      <c r="A24" s="11">
        <v>17.0</v>
      </c>
      <c r="B24" s="13" t="s">
        <v>29</v>
      </c>
      <c r="C24" s="13" t="s">
        <v>17</v>
      </c>
      <c r="D24" s="13" t="s">
        <v>30</v>
      </c>
      <c r="E24" s="14">
        <v>44964.0</v>
      </c>
      <c r="F24" s="16">
        <v>151.24844450000003</v>
      </c>
      <c r="G24" s="16">
        <v>50.0</v>
      </c>
      <c r="H24" s="16">
        <f t="shared" ref="H24:H26" si="4">F24*0.83%</f>
        <v>1.255362089</v>
      </c>
      <c r="I24" s="16">
        <f t="shared" si="2"/>
        <v>202.5038066</v>
      </c>
      <c r="J24" s="13"/>
      <c r="K24" s="16">
        <f t="shared" si="3"/>
        <v>202.5038066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4.75" customHeight="1">
      <c r="A25" s="11">
        <v>18.0</v>
      </c>
      <c r="B25" s="13" t="s">
        <v>41</v>
      </c>
      <c r="C25" s="13" t="s">
        <v>17</v>
      </c>
      <c r="D25" s="13" t="s">
        <v>30</v>
      </c>
      <c r="E25" s="14">
        <v>44971.0</v>
      </c>
      <c r="F25" s="16">
        <v>5.0</v>
      </c>
      <c r="G25" s="20">
        <v>10.0</v>
      </c>
      <c r="H25" s="16">
        <f t="shared" si="4"/>
        <v>0.0415</v>
      </c>
      <c r="I25" s="16">
        <f t="shared" si="2"/>
        <v>15.0415</v>
      </c>
      <c r="J25" s="13"/>
      <c r="K25" s="16">
        <f t="shared" si="3"/>
        <v>15.0415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4.75" customHeight="1">
      <c r="A26" s="11">
        <v>19.0</v>
      </c>
      <c r="B26" s="13" t="s">
        <v>42</v>
      </c>
      <c r="C26" s="13" t="s">
        <v>22</v>
      </c>
      <c r="D26" s="13" t="s">
        <v>30</v>
      </c>
      <c r="E26" s="14">
        <v>44967.0</v>
      </c>
      <c r="F26" s="16">
        <v>20.0</v>
      </c>
      <c r="G26" s="20">
        <v>20.0</v>
      </c>
      <c r="H26" s="16">
        <f t="shared" si="4"/>
        <v>0.166</v>
      </c>
      <c r="I26" s="16">
        <f t="shared" si="2"/>
        <v>40.166</v>
      </c>
      <c r="J26" s="13"/>
      <c r="K26" s="16">
        <f t="shared" si="3"/>
        <v>40.166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4.75" customHeight="1">
      <c r="A27" s="11">
        <v>20.0</v>
      </c>
      <c r="B27" s="13" t="s">
        <v>43</v>
      </c>
      <c r="C27" s="13"/>
      <c r="D27" s="13" t="s">
        <v>30</v>
      </c>
      <c r="E27" s="14">
        <v>44951.0</v>
      </c>
      <c r="F27" s="16">
        <v>10.0</v>
      </c>
      <c r="G27" s="13"/>
      <c r="H27" s="16"/>
      <c r="I27" s="16">
        <f t="shared" si="2"/>
        <v>10</v>
      </c>
      <c r="J27" s="13"/>
      <c r="K27" s="16">
        <f t="shared" si="3"/>
        <v>10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4.75" customHeight="1">
      <c r="A28" s="11">
        <v>21.0</v>
      </c>
      <c r="B28" s="13" t="s">
        <v>44</v>
      </c>
      <c r="C28" s="13" t="s">
        <v>22</v>
      </c>
      <c r="D28" s="13" t="s">
        <v>30</v>
      </c>
      <c r="E28" s="14">
        <v>44957.0</v>
      </c>
      <c r="F28" s="16">
        <v>15.0</v>
      </c>
      <c r="G28" s="20"/>
      <c r="H28" s="16">
        <f>F28*0.83%</f>
        <v>0.1245</v>
      </c>
      <c r="I28" s="16">
        <f t="shared" si="2"/>
        <v>15.1245</v>
      </c>
      <c r="J28" s="13"/>
      <c r="K28" s="16">
        <f t="shared" si="3"/>
        <v>15.1245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11"/>
      <c r="B29" s="13"/>
      <c r="C29" s="13"/>
      <c r="D29" s="13"/>
      <c r="E29" s="13"/>
      <c r="F29" s="13"/>
      <c r="G29" s="13"/>
      <c r="H29" s="16"/>
      <c r="I29" s="16"/>
      <c r="J29" s="13"/>
      <c r="K29" s="1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17"/>
      <c r="B30" s="13"/>
      <c r="C30" s="13"/>
      <c r="D30" s="13"/>
      <c r="E30" s="13"/>
      <c r="F30" s="18">
        <f t="shared" ref="F30:K30" si="5">SUM(F8:F28)</f>
        <v>32744.41552</v>
      </c>
      <c r="G30" s="18">
        <f t="shared" si="5"/>
        <v>376.66</v>
      </c>
      <c r="H30" s="18">
        <f t="shared" si="5"/>
        <v>269.7451488</v>
      </c>
      <c r="I30" s="18">
        <f t="shared" si="5"/>
        <v>33390.82067</v>
      </c>
      <c r="J30" s="18">
        <f t="shared" si="5"/>
        <v>0</v>
      </c>
      <c r="K30" s="18">
        <f t="shared" si="5"/>
        <v>33390.82067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K$28"/>
  <mergeCells count="6">
    <mergeCell ref="A1:K1"/>
    <mergeCell ref="A2:K2"/>
    <mergeCell ref="A3:K3"/>
    <mergeCell ref="A4:K4"/>
    <mergeCell ref="A5:K5"/>
    <mergeCell ref="A6:K6"/>
  </mergeCells>
  <printOptions/>
  <pageMargins bottom="0.75" footer="0.0" header="0.0" left="0.0" right="0.0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4" width="8.71"/>
    <col customWidth="1" min="5" max="5" width="10.14"/>
    <col customWidth="1" min="6" max="7" width="11.29"/>
    <col customWidth="1" min="8" max="8" width="8.71"/>
    <col customWidth="1" min="9" max="9" width="11.29"/>
    <col customWidth="1" min="10" max="10" width="8.71"/>
    <col customWidth="1" min="11" max="11" width="13.14"/>
    <col customWidth="1" min="12" max="29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34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" t="s">
        <v>57</v>
      </c>
      <c r="B6" s="6"/>
      <c r="C6" s="6"/>
      <c r="D6" s="6"/>
      <c r="E6" s="6"/>
      <c r="F6" s="6"/>
      <c r="G6" s="6"/>
      <c r="H6" s="6"/>
      <c r="I6" s="6"/>
      <c r="J6" s="6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28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4.75" customHeight="1">
      <c r="A8" s="11">
        <v>1.0</v>
      </c>
      <c r="B8" s="13" t="s">
        <v>46</v>
      </c>
      <c r="C8" s="13" t="s">
        <v>17</v>
      </c>
      <c r="D8" s="13" t="s">
        <v>18</v>
      </c>
      <c r="E8" s="14">
        <v>44995.0</v>
      </c>
      <c r="F8" s="16">
        <v>3693.4478014507126</v>
      </c>
      <c r="G8" s="15">
        <v>46.27</v>
      </c>
      <c r="H8" s="16">
        <f t="shared" ref="H8:H28" si="1">F8*0.83%</f>
        <v>30.65561675</v>
      </c>
      <c r="I8" s="16">
        <f t="shared" ref="I8:I29" si="2">F8+G8+H8</f>
        <v>3770.373418</v>
      </c>
      <c r="J8" s="13"/>
      <c r="K8" s="16">
        <f t="shared" ref="K8:K29" si="3">I8-J8</f>
        <v>3770.373418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4.75" customHeight="1">
      <c r="A9" s="11">
        <v>2.0</v>
      </c>
      <c r="B9" s="13" t="s">
        <v>33</v>
      </c>
      <c r="C9" s="13" t="s">
        <v>17</v>
      </c>
      <c r="D9" s="13" t="s">
        <v>18</v>
      </c>
      <c r="E9" s="14">
        <v>44995.0</v>
      </c>
      <c r="F9" s="16">
        <v>5781.461780362661</v>
      </c>
      <c r="G9" s="15">
        <v>50.0</v>
      </c>
      <c r="H9" s="16">
        <f t="shared" si="1"/>
        <v>47.98613278</v>
      </c>
      <c r="I9" s="16">
        <f t="shared" si="2"/>
        <v>5879.447913</v>
      </c>
      <c r="J9" s="13"/>
      <c r="K9" s="16">
        <f t="shared" si="3"/>
        <v>5879.447913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4.75" customHeight="1">
      <c r="A10" s="11">
        <v>3.0</v>
      </c>
      <c r="B10" s="13" t="s">
        <v>34</v>
      </c>
      <c r="C10" s="13" t="s">
        <v>17</v>
      </c>
      <c r="D10" s="13" t="s">
        <v>18</v>
      </c>
      <c r="E10" s="14">
        <v>44995.0</v>
      </c>
      <c r="F10" s="16">
        <v>5523.085772647861</v>
      </c>
      <c r="G10" s="15">
        <v>50.0</v>
      </c>
      <c r="H10" s="16">
        <f t="shared" si="1"/>
        <v>45.84161191</v>
      </c>
      <c r="I10" s="16">
        <f t="shared" si="2"/>
        <v>5618.927385</v>
      </c>
      <c r="J10" s="13"/>
      <c r="K10" s="16">
        <f t="shared" si="3"/>
        <v>5618.927385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4.75" customHeight="1">
      <c r="A11" s="11">
        <v>4.0</v>
      </c>
      <c r="B11" s="13" t="s">
        <v>35</v>
      </c>
      <c r="C11" s="13" t="s">
        <v>22</v>
      </c>
      <c r="D11" s="13" t="s">
        <v>18</v>
      </c>
      <c r="E11" s="14">
        <v>44844.0</v>
      </c>
      <c r="F11" s="16">
        <v>5270.588883647861</v>
      </c>
      <c r="G11" s="15"/>
      <c r="H11" s="16">
        <f t="shared" si="1"/>
        <v>43.74588773</v>
      </c>
      <c r="I11" s="16">
        <f t="shared" si="2"/>
        <v>5314.334771</v>
      </c>
      <c r="J11" s="13"/>
      <c r="K11" s="16">
        <f t="shared" si="3"/>
        <v>5314.334771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4.75" customHeight="1">
      <c r="A12" s="11">
        <v>5.0</v>
      </c>
      <c r="B12" s="13" t="s">
        <v>36</v>
      </c>
      <c r="C12" s="13" t="s">
        <v>17</v>
      </c>
      <c r="D12" s="13" t="s">
        <v>18</v>
      </c>
      <c r="E12" s="14">
        <v>44964.0</v>
      </c>
      <c r="F12" s="16">
        <v>255.0284521893832</v>
      </c>
      <c r="G12" s="15"/>
      <c r="H12" s="16">
        <f t="shared" si="1"/>
        <v>2.116736153</v>
      </c>
      <c r="I12" s="16">
        <f t="shared" si="2"/>
        <v>257.1451883</v>
      </c>
      <c r="J12" s="13"/>
      <c r="K12" s="16">
        <f t="shared" si="3"/>
        <v>257.1451883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4.75" customHeight="1">
      <c r="A13" s="11">
        <v>6.0</v>
      </c>
      <c r="B13" s="13" t="s">
        <v>47</v>
      </c>
      <c r="C13" s="13" t="s">
        <v>17</v>
      </c>
      <c r="D13" s="13" t="s">
        <v>18</v>
      </c>
      <c r="E13" s="14">
        <v>44967.0</v>
      </c>
      <c r="F13" s="16">
        <v>2190.361760699119</v>
      </c>
      <c r="G13" s="15">
        <v>7.09</v>
      </c>
      <c r="H13" s="16">
        <f t="shared" si="1"/>
        <v>18.18000261</v>
      </c>
      <c r="I13" s="16">
        <f t="shared" si="2"/>
        <v>2215.631763</v>
      </c>
      <c r="J13" s="13"/>
      <c r="K13" s="16">
        <f t="shared" si="3"/>
        <v>2215.631763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4.75" customHeight="1">
      <c r="A14" s="11">
        <v>7.0</v>
      </c>
      <c r="B14" s="13" t="s">
        <v>38</v>
      </c>
      <c r="C14" s="13" t="s">
        <v>17</v>
      </c>
      <c r="D14" s="13" t="s">
        <v>18</v>
      </c>
      <c r="E14" s="14">
        <v>44996.0</v>
      </c>
      <c r="F14" s="16">
        <v>5393.85247967874</v>
      </c>
      <c r="G14" s="15">
        <v>64.08</v>
      </c>
      <c r="H14" s="16">
        <f t="shared" si="1"/>
        <v>44.76897558</v>
      </c>
      <c r="I14" s="16">
        <f t="shared" si="2"/>
        <v>5502.701455</v>
      </c>
      <c r="J14" s="13"/>
      <c r="K14" s="16">
        <f t="shared" si="3"/>
        <v>5502.701455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4.75" customHeight="1">
      <c r="A15" s="11">
        <v>8.0</v>
      </c>
      <c r="B15" s="13" t="s">
        <v>48</v>
      </c>
      <c r="C15" s="13" t="s">
        <v>17</v>
      </c>
      <c r="D15" s="13" t="s">
        <v>18</v>
      </c>
      <c r="E15" s="14">
        <v>44994.0</v>
      </c>
      <c r="F15" s="16">
        <v>4765.157929754028</v>
      </c>
      <c r="G15" s="15">
        <v>50.0</v>
      </c>
      <c r="H15" s="16">
        <f t="shared" si="1"/>
        <v>39.55081082</v>
      </c>
      <c r="I15" s="16">
        <f t="shared" si="2"/>
        <v>4854.708741</v>
      </c>
      <c r="J15" s="13"/>
      <c r="K15" s="16">
        <f t="shared" si="3"/>
        <v>4854.708741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4.75" customHeight="1">
      <c r="A16" s="11">
        <v>9.0</v>
      </c>
      <c r="B16" s="13" t="s">
        <v>49</v>
      </c>
      <c r="C16" s="13" t="s">
        <v>17</v>
      </c>
      <c r="D16" s="13" t="s">
        <v>30</v>
      </c>
      <c r="E16" s="14">
        <v>44991.0</v>
      </c>
      <c r="F16" s="16">
        <v>5.0</v>
      </c>
      <c r="G16" s="15">
        <v>5.0</v>
      </c>
      <c r="H16" s="16">
        <f t="shared" si="1"/>
        <v>0.0415</v>
      </c>
      <c r="I16" s="16">
        <f t="shared" si="2"/>
        <v>10.0415</v>
      </c>
      <c r="J16" s="13"/>
      <c r="K16" s="16">
        <f t="shared" si="3"/>
        <v>10.0415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4.75" customHeight="1">
      <c r="A17" s="11">
        <v>10.0</v>
      </c>
      <c r="B17" s="13" t="s">
        <v>58</v>
      </c>
      <c r="C17" s="13" t="s">
        <v>22</v>
      </c>
      <c r="D17" s="13" t="s">
        <v>30</v>
      </c>
      <c r="E17" s="14">
        <v>44988.0</v>
      </c>
      <c r="F17" s="16">
        <v>20.0</v>
      </c>
      <c r="G17" s="15">
        <v>20.0</v>
      </c>
      <c r="H17" s="16">
        <f t="shared" si="1"/>
        <v>0.166</v>
      </c>
      <c r="I17" s="16">
        <f t="shared" si="2"/>
        <v>40.166</v>
      </c>
      <c r="J17" s="13"/>
      <c r="K17" s="16">
        <f t="shared" si="3"/>
        <v>40.166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4.75" customHeight="1">
      <c r="A18" s="11">
        <v>11.0</v>
      </c>
      <c r="B18" s="13" t="s">
        <v>51</v>
      </c>
      <c r="C18" s="13"/>
      <c r="D18" s="13" t="s">
        <v>30</v>
      </c>
      <c r="E18" s="14">
        <v>44988.0</v>
      </c>
      <c r="F18" s="16">
        <v>10.0</v>
      </c>
      <c r="G18" s="15">
        <v>10.0</v>
      </c>
      <c r="H18" s="16">
        <f t="shared" si="1"/>
        <v>0.083</v>
      </c>
      <c r="I18" s="16">
        <f t="shared" si="2"/>
        <v>20.083</v>
      </c>
      <c r="J18" s="13"/>
      <c r="K18" s="16">
        <f t="shared" si="3"/>
        <v>20.083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4.75" customHeight="1">
      <c r="A19" s="11">
        <v>12.0</v>
      </c>
      <c r="B19" s="13" t="s">
        <v>52</v>
      </c>
      <c r="C19" s="13"/>
      <c r="D19" s="13" t="s">
        <v>30</v>
      </c>
      <c r="E19" s="14">
        <v>44967.0</v>
      </c>
      <c r="F19" s="16">
        <v>50.0</v>
      </c>
      <c r="G19" s="15"/>
      <c r="H19" s="16">
        <f t="shared" si="1"/>
        <v>0.415</v>
      </c>
      <c r="I19" s="16">
        <f t="shared" si="2"/>
        <v>50.415</v>
      </c>
      <c r="J19" s="13"/>
      <c r="K19" s="16">
        <f t="shared" si="3"/>
        <v>50.415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4.75" customHeight="1">
      <c r="A20" s="11">
        <v>13.0</v>
      </c>
      <c r="B20" s="13" t="s">
        <v>53</v>
      </c>
      <c r="C20" s="13"/>
      <c r="D20" s="13" t="s">
        <v>30</v>
      </c>
      <c r="E20" s="14">
        <v>44967.0</v>
      </c>
      <c r="F20" s="16">
        <v>20.0</v>
      </c>
      <c r="G20" s="15"/>
      <c r="H20" s="16">
        <f t="shared" si="1"/>
        <v>0.166</v>
      </c>
      <c r="I20" s="16">
        <f t="shared" si="2"/>
        <v>20.166</v>
      </c>
      <c r="J20" s="13"/>
      <c r="K20" s="16">
        <f t="shared" si="3"/>
        <v>20.166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4.75" customHeight="1">
      <c r="A21" s="11">
        <v>14.0</v>
      </c>
      <c r="B21" s="13" t="s">
        <v>54</v>
      </c>
      <c r="C21" s="13" t="s">
        <v>17</v>
      </c>
      <c r="D21" s="13" t="s">
        <v>30</v>
      </c>
      <c r="E21" s="14">
        <v>44988.0</v>
      </c>
      <c r="F21" s="16">
        <v>100.0</v>
      </c>
      <c r="G21" s="15">
        <v>100.0</v>
      </c>
      <c r="H21" s="16">
        <f t="shared" si="1"/>
        <v>0.83</v>
      </c>
      <c r="I21" s="16">
        <f t="shared" si="2"/>
        <v>200.83</v>
      </c>
      <c r="J21" s="13"/>
      <c r="K21" s="16">
        <f t="shared" si="3"/>
        <v>200.83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4.75" customHeight="1">
      <c r="A22" s="11">
        <v>15.0</v>
      </c>
      <c r="B22" s="13" t="s">
        <v>55</v>
      </c>
      <c r="C22" s="13"/>
      <c r="D22" s="13" t="s">
        <v>30</v>
      </c>
      <c r="E22" s="14">
        <v>44975.0</v>
      </c>
      <c r="F22" s="16">
        <v>10.0</v>
      </c>
      <c r="G22" s="15"/>
      <c r="H22" s="16">
        <f t="shared" si="1"/>
        <v>0.083</v>
      </c>
      <c r="I22" s="16">
        <f t="shared" si="2"/>
        <v>10.083</v>
      </c>
      <c r="J22" s="13"/>
      <c r="K22" s="16">
        <f t="shared" si="3"/>
        <v>10.083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4.75" customHeight="1">
      <c r="A23" s="11">
        <v>16.0</v>
      </c>
      <c r="B23" s="13" t="s">
        <v>56</v>
      </c>
      <c r="C23" s="13"/>
      <c r="D23" s="13" t="s">
        <v>30</v>
      </c>
      <c r="E23" s="14">
        <v>44995.0</v>
      </c>
      <c r="F23" s="16">
        <v>20.0</v>
      </c>
      <c r="G23" s="15">
        <v>20.0</v>
      </c>
      <c r="H23" s="16">
        <f t="shared" si="1"/>
        <v>0.166</v>
      </c>
      <c r="I23" s="16">
        <f t="shared" si="2"/>
        <v>40.166</v>
      </c>
      <c r="J23" s="13"/>
      <c r="K23" s="16">
        <f t="shared" si="3"/>
        <v>40.166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24.75" customHeight="1">
      <c r="A24" s="11">
        <v>17.0</v>
      </c>
      <c r="B24" s="13" t="s">
        <v>40</v>
      </c>
      <c r="C24" s="13" t="s">
        <v>17</v>
      </c>
      <c r="D24" s="13" t="s">
        <v>30</v>
      </c>
      <c r="E24" s="14">
        <v>44964.0</v>
      </c>
      <c r="F24" s="16">
        <v>202.50380658935003</v>
      </c>
      <c r="G24" s="16">
        <v>50.0</v>
      </c>
      <c r="H24" s="16">
        <f t="shared" si="1"/>
        <v>1.680781595</v>
      </c>
      <c r="I24" s="16">
        <f t="shared" si="2"/>
        <v>254.1845882</v>
      </c>
      <c r="J24" s="13"/>
      <c r="K24" s="16">
        <f t="shared" si="3"/>
        <v>254.1845882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4.75" customHeight="1">
      <c r="A25" s="11">
        <v>18.0</v>
      </c>
      <c r="B25" s="13" t="s">
        <v>41</v>
      </c>
      <c r="C25" s="13" t="s">
        <v>17</v>
      </c>
      <c r="D25" s="13" t="s">
        <v>30</v>
      </c>
      <c r="E25" s="14">
        <v>44988.0</v>
      </c>
      <c r="F25" s="16">
        <v>15.0415</v>
      </c>
      <c r="G25" s="20">
        <v>10.0</v>
      </c>
      <c r="H25" s="16">
        <f t="shared" si="1"/>
        <v>0.12484445</v>
      </c>
      <c r="I25" s="16">
        <f t="shared" si="2"/>
        <v>25.16634445</v>
      </c>
      <c r="J25" s="13"/>
      <c r="K25" s="16">
        <f t="shared" si="3"/>
        <v>25.16634445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4.75" customHeight="1">
      <c r="A26" s="11">
        <v>19.0</v>
      </c>
      <c r="B26" s="13" t="s">
        <v>42</v>
      </c>
      <c r="C26" s="13" t="s">
        <v>22</v>
      </c>
      <c r="D26" s="13" t="s">
        <v>30</v>
      </c>
      <c r="E26" s="14">
        <v>44988.0</v>
      </c>
      <c r="F26" s="16">
        <v>40.166</v>
      </c>
      <c r="G26" s="20">
        <v>20.0</v>
      </c>
      <c r="H26" s="16">
        <f t="shared" si="1"/>
        <v>0.3333778</v>
      </c>
      <c r="I26" s="16">
        <f t="shared" si="2"/>
        <v>60.4993778</v>
      </c>
      <c r="J26" s="13"/>
      <c r="K26" s="16">
        <f t="shared" si="3"/>
        <v>60.4993778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4.75" customHeight="1">
      <c r="A27" s="11">
        <v>20.0</v>
      </c>
      <c r="B27" s="13" t="s">
        <v>43</v>
      </c>
      <c r="C27" s="13"/>
      <c r="D27" s="13" t="s">
        <v>30</v>
      </c>
      <c r="E27" s="14">
        <v>44951.0</v>
      </c>
      <c r="F27" s="16">
        <v>10.0</v>
      </c>
      <c r="G27" s="13"/>
      <c r="H27" s="16">
        <f t="shared" si="1"/>
        <v>0.083</v>
      </c>
      <c r="I27" s="16">
        <f t="shared" si="2"/>
        <v>10.083</v>
      </c>
      <c r="J27" s="13"/>
      <c r="K27" s="16">
        <f t="shared" si="3"/>
        <v>10.083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4.75" customHeight="1">
      <c r="A28" s="11">
        <v>21.0</v>
      </c>
      <c r="B28" s="13" t="s">
        <v>44</v>
      </c>
      <c r="C28" s="13" t="s">
        <v>22</v>
      </c>
      <c r="D28" s="13" t="s">
        <v>30</v>
      </c>
      <c r="E28" s="14">
        <v>44988.0</v>
      </c>
      <c r="F28" s="16">
        <v>15.1245</v>
      </c>
      <c r="G28" s="20">
        <v>15.0</v>
      </c>
      <c r="H28" s="16">
        <f t="shared" si="1"/>
        <v>0.12553335</v>
      </c>
      <c r="I28" s="16">
        <f t="shared" si="2"/>
        <v>30.25003335</v>
      </c>
      <c r="J28" s="13"/>
      <c r="K28" s="16">
        <f t="shared" si="3"/>
        <v>30.25003335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24.75" customHeight="1">
      <c r="A29" s="11">
        <v>21.0</v>
      </c>
      <c r="B29" s="13" t="s">
        <v>59</v>
      </c>
      <c r="C29" s="13" t="s">
        <v>22</v>
      </c>
      <c r="D29" s="13" t="s">
        <v>30</v>
      </c>
      <c r="E29" s="14">
        <v>44993.0</v>
      </c>
      <c r="F29" s="16">
        <v>5.0</v>
      </c>
      <c r="G29" s="20"/>
      <c r="H29" s="16"/>
      <c r="I29" s="16">
        <f t="shared" si="2"/>
        <v>5</v>
      </c>
      <c r="J29" s="13"/>
      <c r="K29" s="16">
        <f t="shared" si="3"/>
        <v>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11"/>
      <c r="B30" s="13"/>
      <c r="C30" s="13"/>
      <c r="D30" s="13"/>
      <c r="E30" s="13"/>
      <c r="F30" s="13"/>
      <c r="G30" s="13"/>
      <c r="H30" s="16"/>
      <c r="I30" s="16"/>
      <c r="J30" s="13"/>
      <c r="K30" s="1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17"/>
      <c r="B31" s="13"/>
      <c r="C31" s="13"/>
      <c r="D31" s="13"/>
      <c r="E31" s="13"/>
      <c r="F31" s="18">
        <f t="shared" ref="F31:K31" si="4">SUM(F8:F28)</f>
        <v>33390.82067</v>
      </c>
      <c r="G31" s="18">
        <f t="shared" si="4"/>
        <v>517.44</v>
      </c>
      <c r="H31" s="18">
        <f t="shared" si="4"/>
        <v>277.1438115</v>
      </c>
      <c r="I31" s="18">
        <f t="shared" si="4"/>
        <v>34185.40448</v>
      </c>
      <c r="J31" s="18">
        <f t="shared" si="4"/>
        <v>0</v>
      </c>
      <c r="K31" s="18">
        <f t="shared" si="4"/>
        <v>34185.40448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K3"/>
    <mergeCell ref="A4:K4"/>
    <mergeCell ref="A5:K5"/>
    <mergeCell ref="A6:K6"/>
  </mergeCells>
  <printOptions/>
  <pageMargins bottom="0.75" footer="0.0" header="0.0" left="0.7" right="0.7" top="0.75"/>
  <pageSetup orientation="landscape"/>
  <colBreaks count="1" manualBreakCount="1">
    <brk id="11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4" width="8.71"/>
    <col customWidth="1" min="5" max="5" width="10.14"/>
    <col customWidth="1" min="6" max="7" width="11.29"/>
    <col customWidth="1" min="8" max="8" width="8.71"/>
    <col customWidth="1" min="9" max="9" width="11.29"/>
    <col customWidth="1" min="10" max="10" width="8.71"/>
    <col customWidth="1" min="11" max="11" width="13.14"/>
    <col customWidth="1" min="12" max="29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34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" t="s">
        <v>60</v>
      </c>
      <c r="B6" s="6"/>
      <c r="C6" s="6"/>
      <c r="D6" s="6"/>
      <c r="E6" s="6"/>
      <c r="F6" s="6"/>
      <c r="G6" s="6"/>
      <c r="H6" s="6"/>
      <c r="I6" s="6"/>
      <c r="J6" s="6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28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4.75" customHeight="1">
      <c r="A8" s="11">
        <v>1.0</v>
      </c>
      <c r="B8" s="13" t="s">
        <v>46</v>
      </c>
      <c r="C8" s="13" t="s">
        <v>17</v>
      </c>
      <c r="D8" s="13" t="s">
        <v>18</v>
      </c>
      <c r="E8" s="14">
        <v>45027.0</v>
      </c>
      <c r="F8" s="15">
        <v>3770.3734182027533</v>
      </c>
      <c r="G8" s="15">
        <v>17.01</v>
      </c>
      <c r="H8" s="16">
        <f t="shared" ref="H8:H29" si="1">F8*0.83%</f>
        <v>31.29409937</v>
      </c>
      <c r="I8" s="16">
        <f t="shared" ref="I8:I30" si="2">F8+G8+H8</f>
        <v>3818.677518</v>
      </c>
      <c r="J8" s="13"/>
      <c r="K8" s="16">
        <f t="shared" ref="K8:K30" si="3">I8-J8</f>
        <v>3818.677518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4.75" customHeight="1">
      <c r="A9" s="11">
        <v>2.0</v>
      </c>
      <c r="B9" s="13" t="s">
        <v>33</v>
      </c>
      <c r="C9" s="13" t="s">
        <v>17</v>
      </c>
      <c r="D9" s="13" t="s">
        <v>18</v>
      </c>
      <c r="E9" s="14">
        <v>45027.0</v>
      </c>
      <c r="F9" s="15">
        <v>5879.447913139671</v>
      </c>
      <c r="G9" s="15">
        <v>30.0</v>
      </c>
      <c r="H9" s="16">
        <f t="shared" si="1"/>
        <v>48.79941768</v>
      </c>
      <c r="I9" s="16">
        <f t="shared" si="2"/>
        <v>5958.247331</v>
      </c>
      <c r="J9" s="13"/>
      <c r="K9" s="16">
        <f t="shared" si="3"/>
        <v>5958.247331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4.75" customHeight="1">
      <c r="A10" s="11">
        <v>3.0</v>
      </c>
      <c r="B10" s="13" t="s">
        <v>34</v>
      </c>
      <c r="C10" s="13" t="s">
        <v>17</v>
      </c>
      <c r="D10" s="13" t="s">
        <v>18</v>
      </c>
      <c r="E10" s="14">
        <v>45026.0</v>
      </c>
      <c r="F10" s="15">
        <v>5618.927384560838</v>
      </c>
      <c r="G10" s="15">
        <v>50.53</v>
      </c>
      <c r="H10" s="16">
        <f t="shared" si="1"/>
        <v>46.63709729</v>
      </c>
      <c r="I10" s="16">
        <f t="shared" si="2"/>
        <v>5716.094482</v>
      </c>
      <c r="J10" s="13"/>
      <c r="K10" s="16">
        <f t="shared" si="3"/>
        <v>5716.094482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4.75" customHeight="1">
      <c r="A11" s="11">
        <v>4.0</v>
      </c>
      <c r="B11" s="13" t="s">
        <v>35</v>
      </c>
      <c r="C11" s="13" t="s">
        <v>22</v>
      </c>
      <c r="D11" s="13" t="s">
        <v>18</v>
      </c>
      <c r="E11" s="14">
        <v>45026.0</v>
      </c>
      <c r="F11" s="15">
        <v>5314.334771382138</v>
      </c>
      <c r="G11" s="15">
        <v>0.02</v>
      </c>
      <c r="H11" s="16">
        <f t="shared" si="1"/>
        <v>44.1089786</v>
      </c>
      <c r="I11" s="16">
        <f t="shared" si="2"/>
        <v>5358.46375</v>
      </c>
      <c r="J11" s="13"/>
      <c r="K11" s="16">
        <f t="shared" si="3"/>
        <v>5358.46375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4.75" customHeight="1">
      <c r="A12" s="11">
        <v>5.0</v>
      </c>
      <c r="B12" s="13" t="s">
        <v>36</v>
      </c>
      <c r="C12" s="13" t="s">
        <v>17</v>
      </c>
      <c r="D12" s="13" t="s">
        <v>18</v>
      </c>
      <c r="E12" s="14">
        <v>45027.0</v>
      </c>
      <c r="F12" s="15">
        <v>257.14518834255506</v>
      </c>
      <c r="G12" s="15">
        <v>50.0</v>
      </c>
      <c r="H12" s="16">
        <f t="shared" si="1"/>
        <v>2.134305063</v>
      </c>
      <c r="I12" s="16">
        <f t="shared" si="2"/>
        <v>309.2794934</v>
      </c>
      <c r="J12" s="13"/>
      <c r="K12" s="16">
        <f t="shared" si="3"/>
        <v>309.2794934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4.75" customHeight="1">
      <c r="A13" s="11">
        <v>6.0</v>
      </c>
      <c r="B13" s="13" t="s">
        <v>47</v>
      </c>
      <c r="C13" s="13" t="s">
        <v>17</v>
      </c>
      <c r="D13" s="13" t="s">
        <v>18</v>
      </c>
      <c r="E13" s="14">
        <v>45023.0</v>
      </c>
      <c r="F13" s="15">
        <v>2215.6317633129215</v>
      </c>
      <c r="G13" s="15">
        <v>8.82</v>
      </c>
      <c r="H13" s="16">
        <f t="shared" si="1"/>
        <v>18.38974364</v>
      </c>
      <c r="I13" s="16">
        <f t="shared" si="2"/>
        <v>2242.841507</v>
      </c>
      <c r="J13" s="13"/>
      <c r="K13" s="16">
        <f t="shared" si="3"/>
        <v>2242.841507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4.75" customHeight="1">
      <c r="A14" s="11">
        <v>7.0</v>
      </c>
      <c r="B14" s="13" t="s">
        <v>38</v>
      </c>
      <c r="C14" s="13" t="s">
        <v>17</v>
      </c>
      <c r="D14" s="13" t="s">
        <v>18</v>
      </c>
      <c r="E14" s="14">
        <v>45026.0</v>
      </c>
      <c r="F14" s="15">
        <v>5502.701455260073</v>
      </c>
      <c r="G14" s="15">
        <v>67.4</v>
      </c>
      <c r="H14" s="16">
        <f t="shared" si="1"/>
        <v>45.67242208</v>
      </c>
      <c r="I14" s="16">
        <f t="shared" si="2"/>
        <v>5615.773877</v>
      </c>
      <c r="J14" s="13"/>
      <c r="K14" s="16">
        <f t="shared" si="3"/>
        <v>5615.773877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4.75" customHeight="1">
      <c r="A15" s="11">
        <v>8.0</v>
      </c>
      <c r="B15" s="13" t="s">
        <v>48</v>
      </c>
      <c r="C15" s="13" t="s">
        <v>17</v>
      </c>
      <c r="D15" s="13" t="s">
        <v>18</v>
      </c>
      <c r="E15" s="14">
        <v>45026.0</v>
      </c>
      <c r="F15" s="15">
        <v>4854.708740570987</v>
      </c>
      <c r="G15" s="15">
        <v>50.0</v>
      </c>
      <c r="H15" s="16">
        <f t="shared" si="1"/>
        <v>40.29408255</v>
      </c>
      <c r="I15" s="16">
        <f t="shared" si="2"/>
        <v>4945.002823</v>
      </c>
      <c r="J15" s="13"/>
      <c r="K15" s="16">
        <f t="shared" si="3"/>
        <v>4945.002823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4.75" customHeight="1">
      <c r="A16" s="11">
        <v>9.0</v>
      </c>
      <c r="B16" s="13" t="s">
        <v>49</v>
      </c>
      <c r="C16" s="13" t="s">
        <v>17</v>
      </c>
      <c r="D16" s="13" t="s">
        <v>30</v>
      </c>
      <c r="E16" s="14">
        <v>45026.0</v>
      </c>
      <c r="F16" s="15">
        <v>10.0415</v>
      </c>
      <c r="G16" s="15">
        <v>5.0</v>
      </c>
      <c r="H16" s="16">
        <f t="shared" si="1"/>
        <v>0.08334445</v>
      </c>
      <c r="I16" s="16">
        <f t="shared" si="2"/>
        <v>15.12484445</v>
      </c>
      <c r="J16" s="13"/>
      <c r="K16" s="16">
        <f t="shared" si="3"/>
        <v>15.12484445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4.75" customHeight="1">
      <c r="A17" s="11">
        <v>10.0</v>
      </c>
      <c r="B17" s="13" t="s">
        <v>58</v>
      </c>
      <c r="C17" s="13" t="s">
        <v>17</v>
      </c>
      <c r="D17" s="13" t="s">
        <v>30</v>
      </c>
      <c r="E17" s="14">
        <v>44988.0</v>
      </c>
      <c r="F17" s="15">
        <v>40.166</v>
      </c>
      <c r="G17" s="15"/>
      <c r="H17" s="16">
        <f t="shared" si="1"/>
        <v>0.3333778</v>
      </c>
      <c r="I17" s="16">
        <f t="shared" si="2"/>
        <v>40.4993778</v>
      </c>
      <c r="J17" s="13"/>
      <c r="K17" s="16">
        <f t="shared" si="3"/>
        <v>40.4993778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4.75" customHeight="1">
      <c r="A18" s="11">
        <v>11.0</v>
      </c>
      <c r="B18" s="13" t="s">
        <v>51</v>
      </c>
      <c r="C18" s="13"/>
      <c r="D18" s="13" t="s">
        <v>30</v>
      </c>
      <c r="E18" s="14">
        <v>44988.0</v>
      </c>
      <c r="F18" s="15">
        <v>20.083</v>
      </c>
      <c r="G18" s="15"/>
      <c r="H18" s="16">
        <f t="shared" si="1"/>
        <v>0.1666889</v>
      </c>
      <c r="I18" s="16">
        <f t="shared" si="2"/>
        <v>20.2496889</v>
      </c>
      <c r="J18" s="13"/>
      <c r="K18" s="16">
        <f t="shared" si="3"/>
        <v>20.2496889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4.75" customHeight="1">
      <c r="A19" s="11">
        <v>12.0</v>
      </c>
      <c r="B19" s="13" t="s">
        <v>52</v>
      </c>
      <c r="C19" s="13"/>
      <c r="D19" s="13" t="s">
        <v>30</v>
      </c>
      <c r="E19" s="14">
        <v>45029.0</v>
      </c>
      <c r="F19" s="15">
        <v>50.415</v>
      </c>
      <c r="G19" s="15">
        <v>25.0</v>
      </c>
      <c r="H19" s="16">
        <f t="shared" si="1"/>
        <v>0.4184445</v>
      </c>
      <c r="I19" s="16">
        <f t="shared" si="2"/>
        <v>75.8334445</v>
      </c>
      <c r="J19" s="13"/>
      <c r="K19" s="16">
        <f t="shared" si="3"/>
        <v>75.8334445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4.75" customHeight="1">
      <c r="A20" s="11">
        <v>13.0</v>
      </c>
      <c r="B20" s="13" t="s">
        <v>53</v>
      </c>
      <c r="C20" s="13"/>
      <c r="D20" s="13" t="s">
        <v>30</v>
      </c>
      <c r="E20" s="14">
        <v>44967.0</v>
      </c>
      <c r="F20" s="15">
        <v>20.166</v>
      </c>
      <c r="G20" s="15"/>
      <c r="H20" s="16">
        <f t="shared" si="1"/>
        <v>0.1673778</v>
      </c>
      <c r="I20" s="16">
        <f t="shared" si="2"/>
        <v>20.3333778</v>
      </c>
      <c r="J20" s="13"/>
      <c r="K20" s="16">
        <f t="shared" si="3"/>
        <v>20.3333778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4.75" customHeight="1">
      <c r="A21" s="11">
        <v>14.0</v>
      </c>
      <c r="B21" s="13" t="s">
        <v>54</v>
      </c>
      <c r="C21" s="13" t="s">
        <v>17</v>
      </c>
      <c r="D21" s="13" t="s">
        <v>30</v>
      </c>
      <c r="E21" s="14">
        <v>45034.0</v>
      </c>
      <c r="F21" s="15">
        <v>200.83</v>
      </c>
      <c r="G21" s="15">
        <v>100.0</v>
      </c>
      <c r="H21" s="16">
        <f t="shared" si="1"/>
        <v>1.666889</v>
      </c>
      <c r="I21" s="16">
        <f t="shared" si="2"/>
        <v>302.496889</v>
      </c>
      <c r="J21" s="13"/>
      <c r="K21" s="16">
        <f t="shared" si="3"/>
        <v>302.496889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4.75" customHeight="1">
      <c r="A22" s="11">
        <v>15.0</v>
      </c>
      <c r="B22" s="13" t="s">
        <v>55</v>
      </c>
      <c r="C22" s="13"/>
      <c r="D22" s="13" t="s">
        <v>30</v>
      </c>
      <c r="E22" s="14">
        <v>45029.0</v>
      </c>
      <c r="F22" s="15">
        <v>10.083</v>
      </c>
      <c r="G22" s="15">
        <v>30.0</v>
      </c>
      <c r="H22" s="16">
        <f t="shared" si="1"/>
        <v>0.0836889</v>
      </c>
      <c r="I22" s="16">
        <f t="shared" si="2"/>
        <v>40.1666889</v>
      </c>
      <c r="J22" s="13"/>
      <c r="K22" s="16">
        <f t="shared" si="3"/>
        <v>40.1666889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4.75" customHeight="1">
      <c r="A23" s="11">
        <v>16.0</v>
      </c>
      <c r="B23" s="13" t="s">
        <v>56</v>
      </c>
      <c r="C23" s="13"/>
      <c r="D23" s="13" t="s">
        <v>30</v>
      </c>
      <c r="E23" s="14">
        <v>45040.0</v>
      </c>
      <c r="F23" s="15">
        <v>40.166</v>
      </c>
      <c r="G23" s="15">
        <v>20.0</v>
      </c>
      <c r="H23" s="16">
        <f t="shared" si="1"/>
        <v>0.3333778</v>
      </c>
      <c r="I23" s="16">
        <f t="shared" si="2"/>
        <v>60.4993778</v>
      </c>
      <c r="J23" s="13"/>
      <c r="K23" s="16">
        <f t="shared" si="3"/>
        <v>60.4993778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24.75" customHeight="1">
      <c r="A24" s="11">
        <v>17.0</v>
      </c>
      <c r="B24" s="13" t="s">
        <v>40</v>
      </c>
      <c r="C24" s="13" t="s">
        <v>17</v>
      </c>
      <c r="D24" s="13" t="s">
        <v>30</v>
      </c>
      <c r="E24" s="14">
        <v>45024.0</v>
      </c>
      <c r="F24" s="16">
        <v>254.18458818404164</v>
      </c>
      <c r="G24" s="16">
        <v>25.0</v>
      </c>
      <c r="H24" s="16">
        <f t="shared" si="1"/>
        <v>2.109732082</v>
      </c>
      <c r="I24" s="16">
        <f t="shared" si="2"/>
        <v>281.2943203</v>
      </c>
      <c r="J24" s="13"/>
      <c r="K24" s="16">
        <f t="shared" si="3"/>
        <v>281.2943203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4.75" customHeight="1">
      <c r="A25" s="11">
        <v>18.0</v>
      </c>
      <c r="B25" s="13" t="s">
        <v>41</v>
      </c>
      <c r="C25" s="13" t="s">
        <v>17</v>
      </c>
      <c r="D25" s="13" t="s">
        <v>30</v>
      </c>
      <c r="E25" s="14">
        <v>44971.0</v>
      </c>
      <c r="F25" s="16">
        <v>25.16634445</v>
      </c>
      <c r="G25" s="20"/>
      <c r="H25" s="16">
        <f t="shared" si="1"/>
        <v>0.2088806589</v>
      </c>
      <c r="I25" s="16">
        <f t="shared" si="2"/>
        <v>25.37522511</v>
      </c>
      <c r="J25" s="13"/>
      <c r="K25" s="16">
        <f t="shared" si="3"/>
        <v>25.37522511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4.75" customHeight="1">
      <c r="A26" s="11">
        <v>19.0</v>
      </c>
      <c r="B26" s="13" t="s">
        <v>42</v>
      </c>
      <c r="C26" s="13" t="s">
        <v>22</v>
      </c>
      <c r="D26" s="13" t="s">
        <v>30</v>
      </c>
      <c r="E26" s="14">
        <v>45028.0</v>
      </c>
      <c r="F26" s="16">
        <v>60.4993778</v>
      </c>
      <c r="G26" s="20">
        <v>20.0</v>
      </c>
      <c r="H26" s="16">
        <f t="shared" si="1"/>
        <v>0.5021448357</v>
      </c>
      <c r="I26" s="16">
        <f t="shared" si="2"/>
        <v>81.00152264</v>
      </c>
      <c r="J26" s="13"/>
      <c r="K26" s="16">
        <f t="shared" si="3"/>
        <v>81.00152264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4.75" customHeight="1">
      <c r="A27" s="11">
        <v>20.0</v>
      </c>
      <c r="B27" s="13" t="s">
        <v>43</v>
      </c>
      <c r="C27" s="13"/>
      <c r="D27" s="13" t="s">
        <v>30</v>
      </c>
      <c r="E27" s="14">
        <v>45031.0</v>
      </c>
      <c r="F27" s="16">
        <v>10.083</v>
      </c>
      <c r="G27" s="20">
        <v>20.0</v>
      </c>
      <c r="H27" s="16">
        <f t="shared" si="1"/>
        <v>0.0836889</v>
      </c>
      <c r="I27" s="16">
        <f t="shared" si="2"/>
        <v>30.1666889</v>
      </c>
      <c r="J27" s="13"/>
      <c r="K27" s="16">
        <f t="shared" si="3"/>
        <v>30.1666889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4.75" customHeight="1">
      <c r="A28" s="11">
        <v>21.0</v>
      </c>
      <c r="B28" s="13" t="s">
        <v>59</v>
      </c>
      <c r="C28" s="13" t="s">
        <v>22</v>
      </c>
      <c r="D28" s="13" t="s">
        <v>30</v>
      </c>
      <c r="E28" s="14">
        <v>44993.0</v>
      </c>
      <c r="F28" s="16">
        <v>5.0</v>
      </c>
      <c r="G28" s="20"/>
      <c r="H28" s="16">
        <f t="shared" si="1"/>
        <v>0.0415</v>
      </c>
      <c r="I28" s="16">
        <f t="shared" si="2"/>
        <v>5.0415</v>
      </c>
      <c r="J28" s="13"/>
      <c r="K28" s="16">
        <f t="shared" si="3"/>
        <v>5.0415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24.75" customHeight="1">
      <c r="A29" s="11">
        <v>22.0</v>
      </c>
      <c r="B29" s="13" t="s">
        <v>44</v>
      </c>
      <c r="C29" s="13" t="s">
        <v>22</v>
      </c>
      <c r="D29" s="13" t="s">
        <v>30</v>
      </c>
      <c r="E29" s="14">
        <v>44957.0</v>
      </c>
      <c r="F29" s="16">
        <v>30.25</v>
      </c>
      <c r="G29" s="20">
        <v>15.0</v>
      </c>
      <c r="H29" s="16">
        <f t="shared" si="1"/>
        <v>0.251075</v>
      </c>
      <c r="I29" s="16">
        <f t="shared" si="2"/>
        <v>45.501075</v>
      </c>
      <c r="J29" s="13"/>
      <c r="K29" s="16">
        <f t="shared" si="3"/>
        <v>45.501075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24.75" customHeight="1">
      <c r="A30" s="11">
        <v>23.0</v>
      </c>
      <c r="B30" s="13" t="s">
        <v>61</v>
      </c>
      <c r="C30" s="13"/>
      <c r="D30" s="13" t="s">
        <v>30</v>
      </c>
      <c r="E30" s="14">
        <v>45034.0</v>
      </c>
      <c r="F30" s="16">
        <v>50.0</v>
      </c>
      <c r="G30" s="20"/>
      <c r="H30" s="16"/>
      <c r="I30" s="16">
        <f t="shared" si="2"/>
        <v>50</v>
      </c>
      <c r="J30" s="13"/>
      <c r="K30" s="16">
        <f t="shared" si="3"/>
        <v>50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11"/>
      <c r="B31" s="13"/>
      <c r="C31" s="13"/>
      <c r="D31" s="13"/>
      <c r="E31" s="13"/>
      <c r="F31" s="13"/>
      <c r="G31" s="13"/>
      <c r="H31" s="16"/>
      <c r="I31" s="16"/>
      <c r="J31" s="13"/>
      <c r="K31" s="1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17"/>
      <c r="B32" s="13"/>
      <c r="C32" s="13"/>
      <c r="D32" s="13"/>
      <c r="E32" s="13"/>
      <c r="F32" s="18">
        <f t="shared" ref="F32:K32" si="4">SUM(F8:F30)</f>
        <v>34240.40445</v>
      </c>
      <c r="G32" s="18">
        <f t="shared" si="4"/>
        <v>533.78</v>
      </c>
      <c r="H32" s="18">
        <f t="shared" si="4"/>
        <v>283.7803569</v>
      </c>
      <c r="I32" s="18">
        <f t="shared" si="4"/>
        <v>35057.9648</v>
      </c>
      <c r="J32" s="18">
        <f t="shared" si="4"/>
        <v>0</v>
      </c>
      <c r="K32" s="18">
        <f t="shared" si="4"/>
        <v>35057.9648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K3"/>
    <mergeCell ref="A4:K4"/>
    <mergeCell ref="A5:K5"/>
    <mergeCell ref="A6:K6"/>
  </mergeCells>
  <printOptions/>
  <pageMargins bottom="0.75" footer="0.0" header="0.0" left="0.0" right="0.0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4" width="8.71"/>
    <col customWidth="1" min="5" max="5" width="10.14"/>
    <col customWidth="1" min="6" max="7" width="11.29"/>
    <col customWidth="1" min="8" max="8" width="8.71"/>
    <col customWidth="1" min="9" max="9" width="11.29"/>
    <col customWidth="1" min="10" max="10" width="8.71"/>
    <col customWidth="1" min="11" max="11" width="13.14"/>
    <col customWidth="1" min="12" max="29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34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" t="s">
        <v>62</v>
      </c>
      <c r="B6" s="6"/>
      <c r="C6" s="6"/>
      <c r="D6" s="6"/>
      <c r="E6" s="6"/>
      <c r="F6" s="6"/>
      <c r="G6" s="6"/>
      <c r="H6" s="6"/>
      <c r="I6" s="6"/>
      <c r="J6" s="6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28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4.75" customHeight="1">
      <c r="A8" s="11">
        <v>1.0</v>
      </c>
      <c r="B8" s="13" t="s">
        <v>46</v>
      </c>
      <c r="C8" s="13" t="s">
        <v>17</v>
      </c>
      <c r="D8" s="13" t="s">
        <v>18</v>
      </c>
      <c r="E8" s="14">
        <v>45059.0</v>
      </c>
      <c r="F8" s="15">
        <v>3818.677517573836</v>
      </c>
      <c r="G8" s="15">
        <v>17.74</v>
      </c>
      <c r="H8" s="16">
        <f t="shared" ref="H8:H30" si="1">F8*0.83%</f>
        <v>31.6950234</v>
      </c>
      <c r="I8" s="16">
        <f t="shared" ref="I8:I34" si="2">F8+G8+H8</f>
        <v>3868.112541</v>
      </c>
      <c r="J8" s="13"/>
      <c r="K8" s="16">
        <f t="shared" ref="K8:K34" si="3">I8-J8</f>
        <v>3868.112541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4.75" customHeight="1">
      <c r="A9" s="11">
        <v>2.0</v>
      </c>
      <c r="B9" s="13" t="s">
        <v>33</v>
      </c>
      <c r="C9" s="13" t="s">
        <v>17</v>
      </c>
      <c r="D9" s="13" t="s">
        <v>18</v>
      </c>
      <c r="E9" s="14">
        <v>45060.0</v>
      </c>
      <c r="F9" s="15">
        <v>5958.24733081873</v>
      </c>
      <c r="G9" s="15">
        <v>50.0</v>
      </c>
      <c r="H9" s="16">
        <f t="shared" si="1"/>
        <v>49.45345285</v>
      </c>
      <c r="I9" s="16">
        <f t="shared" si="2"/>
        <v>6057.700784</v>
      </c>
      <c r="J9" s="13"/>
      <c r="K9" s="16">
        <f t="shared" si="3"/>
        <v>6057.700784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4.75" customHeight="1">
      <c r="A10" s="11">
        <v>3.0</v>
      </c>
      <c r="B10" s="13" t="s">
        <v>34</v>
      </c>
      <c r="C10" s="13" t="s">
        <v>17</v>
      </c>
      <c r="D10" s="13" t="s">
        <v>18</v>
      </c>
      <c r="E10" s="14">
        <v>45026.0</v>
      </c>
      <c r="F10" s="15">
        <v>5716.094481852692</v>
      </c>
      <c r="G10" s="15"/>
      <c r="H10" s="16">
        <f t="shared" si="1"/>
        <v>47.4435842</v>
      </c>
      <c r="I10" s="16">
        <f t="shared" si="2"/>
        <v>5763.538066</v>
      </c>
      <c r="J10" s="13"/>
      <c r="K10" s="16">
        <f t="shared" si="3"/>
        <v>5763.538066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4.75" customHeight="1">
      <c r="A11" s="11">
        <v>4.0</v>
      </c>
      <c r="B11" s="13" t="s">
        <v>35</v>
      </c>
      <c r="C11" s="13" t="s">
        <v>22</v>
      </c>
      <c r="D11" s="13" t="s">
        <v>18</v>
      </c>
      <c r="E11" s="14">
        <v>45026.0</v>
      </c>
      <c r="F11" s="15">
        <v>5358.463749984609</v>
      </c>
      <c r="G11" s="15"/>
      <c r="H11" s="16">
        <f t="shared" si="1"/>
        <v>44.47524912</v>
      </c>
      <c r="I11" s="16">
        <f t="shared" si="2"/>
        <v>5402.938999</v>
      </c>
      <c r="J11" s="13"/>
      <c r="K11" s="16">
        <f t="shared" si="3"/>
        <v>5402.938999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4.75" customHeight="1">
      <c r="A12" s="11">
        <v>5.0</v>
      </c>
      <c r="B12" s="13" t="s">
        <v>36</v>
      </c>
      <c r="C12" s="13" t="s">
        <v>17</v>
      </c>
      <c r="D12" s="13" t="s">
        <v>18</v>
      </c>
      <c r="E12" s="14">
        <v>45027.0</v>
      </c>
      <c r="F12" s="15">
        <v>309.2794934057983</v>
      </c>
      <c r="G12" s="15"/>
      <c r="H12" s="16">
        <f t="shared" si="1"/>
        <v>2.567019795</v>
      </c>
      <c r="I12" s="16">
        <f t="shared" si="2"/>
        <v>311.8465132</v>
      </c>
      <c r="J12" s="13"/>
      <c r="K12" s="16">
        <f t="shared" si="3"/>
        <v>311.8465132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4.75" customHeight="1">
      <c r="A13" s="11">
        <v>6.0</v>
      </c>
      <c r="B13" s="13" t="s">
        <v>47</v>
      </c>
      <c r="C13" s="13" t="s">
        <v>17</v>
      </c>
      <c r="D13" s="13" t="s">
        <v>18</v>
      </c>
      <c r="E13" s="14">
        <v>45056.0</v>
      </c>
      <c r="F13" s="15">
        <v>2242.841506948419</v>
      </c>
      <c r="G13" s="15">
        <v>10.54</v>
      </c>
      <c r="H13" s="16">
        <f t="shared" si="1"/>
        <v>18.61558451</v>
      </c>
      <c r="I13" s="16">
        <f t="shared" si="2"/>
        <v>2271.997091</v>
      </c>
      <c r="J13" s="13"/>
      <c r="K13" s="16">
        <f t="shared" si="3"/>
        <v>2271.997091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4.75" customHeight="1">
      <c r="A14" s="11">
        <v>7.0</v>
      </c>
      <c r="B14" s="13" t="s">
        <v>38</v>
      </c>
      <c r="C14" s="13" t="s">
        <v>17</v>
      </c>
      <c r="D14" s="13" t="s">
        <v>18</v>
      </c>
      <c r="E14" s="14">
        <v>45057.0</v>
      </c>
      <c r="F14" s="15">
        <v>5615.773877338731</v>
      </c>
      <c r="G14" s="15">
        <v>70.72</v>
      </c>
      <c r="H14" s="16">
        <f t="shared" si="1"/>
        <v>46.61092318</v>
      </c>
      <c r="I14" s="16">
        <f t="shared" si="2"/>
        <v>5733.104801</v>
      </c>
      <c r="J14" s="13"/>
      <c r="K14" s="16">
        <f t="shared" si="3"/>
        <v>5733.104801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4.75" customHeight="1">
      <c r="A15" s="11">
        <v>8.0</v>
      </c>
      <c r="B15" s="13" t="s">
        <v>48</v>
      </c>
      <c r="C15" s="13" t="s">
        <v>17</v>
      </c>
      <c r="D15" s="13" t="s">
        <v>18</v>
      </c>
      <c r="E15" s="14">
        <v>45056.0</v>
      </c>
      <c r="F15" s="15">
        <v>4945.002823117727</v>
      </c>
      <c r="G15" s="15">
        <v>100.0</v>
      </c>
      <c r="H15" s="16">
        <f t="shared" si="1"/>
        <v>41.04352343</v>
      </c>
      <c r="I15" s="16">
        <f t="shared" si="2"/>
        <v>5086.046347</v>
      </c>
      <c r="J15" s="13"/>
      <c r="K15" s="16">
        <f t="shared" si="3"/>
        <v>5086.046347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4.75" customHeight="1">
      <c r="A16" s="11">
        <v>9.0</v>
      </c>
      <c r="B16" s="13" t="s">
        <v>49</v>
      </c>
      <c r="C16" s="13" t="s">
        <v>17</v>
      </c>
      <c r="D16" s="13" t="s">
        <v>30</v>
      </c>
      <c r="E16" s="14">
        <v>45055.0</v>
      </c>
      <c r="F16" s="15">
        <v>15.12484445</v>
      </c>
      <c r="G16" s="15">
        <v>5.0</v>
      </c>
      <c r="H16" s="16">
        <f t="shared" si="1"/>
        <v>0.1255362089</v>
      </c>
      <c r="I16" s="16">
        <f t="shared" si="2"/>
        <v>20.25038066</v>
      </c>
      <c r="J16" s="13"/>
      <c r="K16" s="16">
        <f t="shared" si="3"/>
        <v>20.25038066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4.75" customHeight="1">
      <c r="A17" s="11">
        <v>10.0</v>
      </c>
      <c r="B17" s="13" t="s">
        <v>58</v>
      </c>
      <c r="C17" s="13" t="s">
        <v>17</v>
      </c>
      <c r="D17" s="13" t="s">
        <v>30</v>
      </c>
      <c r="E17" s="14">
        <v>45055.0</v>
      </c>
      <c r="F17" s="15">
        <v>40.4993778</v>
      </c>
      <c r="G17" s="15">
        <v>20.0</v>
      </c>
      <c r="H17" s="16">
        <f t="shared" si="1"/>
        <v>0.3361448357</v>
      </c>
      <c r="I17" s="16">
        <f t="shared" si="2"/>
        <v>60.83552264</v>
      </c>
      <c r="J17" s="13"/>
      <c r="K17" s="16">
        <f t="shared" si="3"/>
        <v>60.83552264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4.75" customHeight="1">
      <c r="A18" s="11">
        <v>11.0</v>
      </c>
      <c r="B18" s="13" t="s">
        <v>51</v>
      </c>
      <c r="C18" s="13"/>
      <c r="D18" s="13" t="s">
        <v>30</v>
      </c>
      <c r="E18" s="14">
        <v>44988.0</v>
      </c>
      <c r="F18" s="15">
        <v>20.2496889</v>
      </c>
      <c r="G18" s="15"/>
      <c r="H18" s="16">
        <f t="shared" si="1"/>
        <v>0.1680724179</v>
      </c>
      <c r="I18" s="16">
        <f t="shared" si="2"/>
        <v>20.41776132</v>
      </c>
      <c r="J18" s="13"/>
      <c r="K18" s="16">
        <f t="shared" si="3"/>
        <v>20.41776132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4.75" customHeight="1">
      <c r="A19" s="11">
        <v>12.0</v>
      </c>
      <c r="B19" s="13" t="s">
        <v>52</v>
      </c>
      <c r="C19" s="13"/>
      <c r="D19" s="13" t="s">
        <v>30</v>
      </c>
      <c r="E19" s="14">
        <v>45029.0</v>
      </c>
      <c r="F19" s="15">
        <v>75.8334445</v>
      </c>
      <c r="G19" s="15"/>
      <c r="H19" s="16">
        <f t="shared" si="1"/>
        <v>0.6294175894</v>
      </c>
      <c r="I19" s="16">
        <f t="shared" si="2"/>
        <v>76.46286209</v>
      </c>
      <c r="J19" s="13"/>
      <c r="K19" s="16">
        <f t="shared" si="3"/>
        <v>76.46286209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4.75" customHeight="1">
      <c r="A20" s="11">
        <v>13.0</v>
      </c>
      <c r="B20" s="13" t="s">
        <v>53</v>
      </c>
      <c r="C20" s="13"/>
      <c r="D20" s="13" t="s">
        <v>30</v>
      </c>
      <c r="E20" s="14">
        <v>44967.0</v>
      </c>
      <c r="F20" s="15">
        <v>20.3333778</v>
      </c>
      <c r="G20" s="15"/>
      <c r="H20" s="16">
        <f t="shared" si="1"/>
        <v>0.1687670357</v>
      </c>
      <c r="I20" s="16">
        <f t="shared" si="2"/>
        <v>20.50214484</v>
      </c>
      <c r="J20" s="13"/>
      <c r="K20" s="16">
        <f t="shared" si="3"/>
        <v>20.50214484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4.75" customHeight="1">
      <c r="A21" s="11">
        <v>14.0</v>
      </c>
      <c r="B21" s="13" t="s">
        <v>54</v>
      </c>
      <c r="C21" s="13" t="s">
        <v>17</v>
      </c>
      <c r="D21" s="13" t="s">
        <v>30</v>
      </c>
      <c r="E21" s="14">
        <v>45049.0</v>
      </c>
      <c r="F21" s="15">
        <v>302.49688900000007</v>
      </c>
      <c r="G21" s="15">
        <v>100.0</v>
      </c>
      <c r="H21" s="16">
        <f t="shared" si="1"/>
        <v>2.510724179</v>
      </c>
      <c r="I21" s="16">
        <f t="shared" si="2"/>
        <v>405.0076132</v>
      </c>
      <c r="J21" s="13"/>
      <c r="K21" s="16">
        <f t="shared" si="3"/>
        <v>405.0076132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4.75" customHeight="1">
      <c r="A22" s="11">
        <v>15.0</v>
      </c>
      <c r="B22" s="13" t="s">
        <v>55</v>
      </c>
      <c r="C22" s="13"/>
      <c r="D22" s="13" t="s">
        <v>30</v>
      </c>
      <c r="E22" s="14">
        <v>45056.0</v>
      </c>
      <c r="F22" s="15">
        <v>40.1666889</v>
      </c>
      <c r="G22" s="15">
        <v>10.0</v>
      </c>
      <c r="H22" s="16">
        <f t="shared" si="1"/>
        <v>0.3333835179</v>
      </c>
      <c r="I22" s="16">
        <f t="shared" si="2"/>
        <v>50.50007242</v>
      </c>
      <c r="J22" s="13"/>
      <c r="K22" s="16">
        <f t="shared" si="3"/>
        <v>50.50007242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4.75" customHeight="1">
      <c r="A23" s="11">
        <v>16.0</v>
      </c>
      <c r="B23" s="13" t="s">
        <v>56</v>
      </c>
      <c r="C23" s="13"/>
      <c r="D23" s="13" t="s">
        <v>30</v>
      </c>
      <c r="E23" s="14">
        <v>45059.0</v>
      </c>
      <c r="F23" s="15">
        <v>60.4993778</v>
      </c>
      <c r="G23" s="15">
        <v>20.0</v>
      </c>
      <c r="H23" s="16">
        <f t="shared" si="1"/>
        <v>0.5021448357</v>
      </c>
      <c r="I23" s="16">
        <f t="shared" si="2"/>
        <v>81.00152264</v>
      </c>
      <c r="J23" s="13"/>
      <c r="K23" s="16">
        <f t="shared" si="3"/>
        <v>81.00152264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24.75" customHeight="1">
      <c r="A24" s="11">
        <v>17.0</v>
      </c>
      <c r="B24" s="13" t="s">
        <v>40</v>
      </c>
      <c r="C24" s="13" t="s">
        <v>17</v>
      </c>
      <c r="D24" s="13" t="s">
        <v>30</v>
      </c>
      <c r="E24" s="14">
        <v>45049.0</v>
      </c>
      <c r="F24" s="15">
        <v>281.2943202659692</v>
      </c>
      <c r="G24" s="16">
        <v>25.0</v>
      </c>
      <c r="H24" s="16">
        <f t="shared" si="1"/>
        <v>2.334742858</v>
      </c>
      <c r="I24" s="16">
        <f t="shared" si="2"/>
        <v>308.6290631</v>
      </c>
      <c r="J24" s="13"/>
      <c r="K24" s="16">
        <f t="shared" si="3"/>
        <v>308.6290631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4.75" customHeight="1">
      <c r="A25" s="11">
        <v>18.0</v>
      </c>
      <c r="B25" s="13" t="s">
        <v>41</v>
      </c>
      <c r="C25" s="13" t="s">
        <v>17</v>
      </c>
      <c r="D25" s="13" t="s">
        <v>30</v>
      </c>
      <c r="E25" s="14">
        <v>45057.0</v>
      </c>
      <c r="F25" s="15">
        <v>25.375225108935002</v>
      </c>
      <c r="G25" s="20">
        <v>10.0</v>
      </c>
      <c r="H25" s="16">
        <f t="shared" si="1"/>
        <v>0.2106143684</v>
      </c>
      <c r="I25" s="16">
        <f t="shared" si="2"/>
        <v>35.58583948</v>
      </c>
      <c r="J25" s="13"/>
      <c r="K25" s="16">
        <f t="shared" si="3"/>
        <v>35.58583948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4.75" customHeight="1">
      <c r="A26" s="11">
        <v>19.0</v>
      </c>
      <c r="B26" s="13" t="s">
        <v>42</v>
      </c>
      <c r="C26" s="13" t="s">
        <v>22</v>
      </c>
      <c r="D26" s="13" t="s">
        <v>30</v>
      </c>
      <c r="E26" s="14">
        <v>45056.0</v>
      </c>
      <c r="F26" s="15">
        <v>81.00152263573999</v>
      </c>
      <c r="G26" s="20">
        <v>20.0</v>
      </c>
      <c r="H26" s="16">
        <f t="shared" si="1"/>
        <v>0.6723126379</v>
      </c>
      <c r="I26" s="16">
        <f t="shared" si="2"/>
        <v>101.6738353</v>
      </c>
      <c r="J26" s="13"/>
      <c r="K26" s="16">
        <f t="shared" si="3"/>
        <v>101.6738353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4.75" customHeight="1">
      <c r="A27" s="11">
        <v>20.0</v>
      </c>
      <c r="B27" s="13" t="s">
        <v>43</v>
      </c>
      <c r="C27" s="13"/>
      <c r="D27" s="13" t="s">
        <v>30</v>
      </c>
      <c r="E27" s="14">
        <v>45031.0</v>
      </c>
      <c r="F27" s="15">
        <v>30.166688899999997</v>
      </c>
      <c r="G27" s="20"/>
      <c r="H27" s="16">
        <f t="shared" si="1"/>
        <v>0.2503835179</v>
      </c>
      <c r="I27" s="16">
        <f t="shared" si="2"/>
        <v>30.41707242</v>
      </c>
      <c r="J27" s="13"/>
      <c r="K27" s="16">
        <f t="shared" si="3"/>
        <v>30.41707242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4.75" customHeight="1">
      <c r="A28" s="11">
        <v>21.0</v>
      </c>
      <c r="B28" s="13" t="s">
        <v>59</v>
      </c>
      <c r="C28" s="13" t="s">
        <v>22</v>
      </c>
      <c r="D28" s="13" t="s">
        <v>30</v>
      </c>
      <c r="E28" s="14">
        <v>44993.0</v>
      </c>
      <c r="F28" s="15">
        <v>5.0415</v>
      </c>
      <c r="G28" s="20"/>
      <c r="H28" s="16">
        <f t="shared" si="1"/>
        <v>0.04184445</v>
      </c>
      <c r="I28" s="16">
        <f t="shared" si="2"/>
        <v>5.08334445</v>
      </c>
      <c r="J28" s="13"/>
      <c r="K28" s="16">
        <f t="shared" si="3"/>
        <v>5.08334445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24.75" customHeight="1">
      <c r="A29" s="11">
        <v>22.0</v>
      </c>
      <c r="B29" s="13" t="s">
        <v>44</v>
      </c>
      <c r="C29" s="13" t="s">
        <v>22</v>
      </c>
      <c r="D29" s="13" t="s">
        <v>30</v>
      </c>
      <c r="E29" s="14">
        <v>45055.0</v>
      </c>
      <c r="F29" s="15">
        <v>45.5</v>
      </c>
      <c r="G29" s="20">
        <v>15.0</v>
      </c>
      <c r="H29" s="16">
        <f t="shared" si="1"/>
        <v>0.37765</v>
      </c>
      <c r="I29" s="16">
        <f t="shared" si="2"/>
        <v>60.87765</v>
      </c>
      <c r="J29" s="13"/>
      <c r="K29" s="16">
        <f t="shared" si="3"/>
        <v>60.87765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24.75" customHeight="1">
      <c r="A30" s="11">
        <v>23.0</v>
      </c>
      <c r="B30" s="13" t="s">
        <v>61</v>
      </c>
      <c r="C30" s="13"/>
      <c r="D30" s="13" t="s">
        <v>30</v>
      </c>
      <c r="E30" s="14">
        <v>45059.0</v>
      </c>
      <c r="F30" s="15">
        <v>50.0</v>
      </c>
      <c r="G30" s="20">
        <v>25.0</v>
      </c>
      <c r="H30" s="16">
        <f t="shared" si="1"/>
        <v>0.415</v>
      </c>
      <c r="I30" s="16">
        <f t="shared" si="2"/>
        <v>75.415</v>
      </c>
      <c r="J30" s="13"/>
      <c r="K30" s="16">
        <f t="shared" si="3"/>
        <v>75.415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24.75" customHeight="1">
      <c r="A31" s="11">
        <v>24.0</v>
      </c>
      <c r="B31" s="13" t="s">
        <v>63</v>
      </c>
      <c r="C31" s="13"/>
      <c r="D31" s="13" t="s">
        <v>30</v>
      </c>
      <c r="E31" s="14">
        <v>45056.0</v>
      </c>
      <c r="F31" s="15">
        <v>50.0</v>
      </c>
      <c r="G31" s="20"/>
      <c r="H31" s="16"/>
      <c r="I31" s="16">
        <f t="shared" si="2"/>
        <v>50</v>
      </c>
      <c r="J31" s="13"/>
      <c r="K31" s="16">
        <f t="shared" si="3"/>
        <v>50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24.75" customHeight="1">
      <c r="A32" s="11">
        <v>25.0</v>
      </c>
      <c r="B32" s="13" t="s">
        <v>64</v>
      </c>
      <c r="C32" s="13"/>
      <c r="D32" s="13" t="s">
        <v>30</v>
      </c>
      <c r="E32" s="14">
        <v>45058.0</v>
      </c>
      <c r="F32" s="15">
        <v>100.0</v>
      </c>
      <c r="G32" s="20"/>
      <c r="H32" s="16"/>
      <c r="I32" s="16">
        <f t="shared" si="2"/>
        <v>100</v>
      </c>
      <c r="J32" s="13"/>
      <c r="K32" s="16">
        <f t="shared" si="3"/>
        <v>100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24.75" customHeight="1">
      <c r="A33" s="11">
        <v>26.0</v>
      </c>
      <c r="B33" s="13" t="s">
        <v>65</v>
      </c>
      <c r="C33" s="13"/>
      <c r="D33" s="13" t="s">
        <v>30</v>
      </c>
      <c r="E33" s="14">
        <v>45059.0</v>
      </c>
      <c r="F33" s="15">
        <v>20.0</v>
      </c>
      <c r="G33" s="20"/>
      <c r="H33" s="16"/>
      <c r="I33" s="16">
        <f t="shared" si="2"/>
        <v>20</v>
      </c>
      <c r="J33" s="13"/>
      <c r="K33" s="16">
        <f t="shared" si="3"/>
        <v>20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24.75" customHeight="1">
      <c r="A34" s="11">
        <v>27.0</v>
      </c>
      <c r="B34" s="13" t="s">
        <v>66</v>
      </c>
      <c r="C34" s="13"/>
      <c r="D34" s="13" t="s">
        <v>30</v>
      </c>
      <c r="E34" s="14">
        <v>45060.0</v>
      </c>
      <c r="F34" s="15">
        <v>30.0</v>
      </c>
      <c r="G34" s="20"/>
      <c r="H34" s="16"/>
      <c r="I34" s="16">
        <f t="shared" si="2"/>
        <v>30</v>
      </c>
      <c r="J34" s="13"/>
      <c r="K34" s="16">
        <f t="shared" si="3"/>
        <v>30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11"/>
      <c r="B35" s="13"/>
      <c r="C35" s="13"/>
      <c r="D35" s="13"/>
      <c r="E35" s="13"/>
      <c r="F35" s="13"/>
      <c r="G35" s="13"/>
      <c r="H35" s="16"/>
      <c r="I35" s="16"/>
      <c r="J35" s="13"/>
      <c r="K35" s="1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17"/>
      <c r="B36" s="13"/>
      <c r="C36" s="13"/>
      <c r="D36" s="13"/>
      <c r="E36" s="13"/>
      <c r="F36" s="18">
        <f t="shared" ref="F36:K36" si="4">SUM(F8:F34)</f>
        <v>35257.96373</v>
      </c>
      <c r="G36" s="18">
        <f t="shared" si="4"/>
        <v>499</v>
      </c>
      <c r="H36" s="18">
        <f t="shared" si="4"/>
        <v>290.9810989</v>
      </c>
      <c r="I36" s="18">
        <f t="shared" si="4"/>
        <v>36047.94483</v>
      </c>
      <c r="J36" s="18">
        <f t="shared" si="4"/>
        <v>0</v>
      </c>
      <c r="K36" s="18">
        <f t="shared" si="4"/>
        <v>36047.94483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2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K3"/>
    <mergeCell ref="A4:K4"/>
    <mergeCell ref="A5:K5"/>
    <mergeCell ref="A6:K6"/>
  </mergeCells>
  <printOptions/>
  <pageMargins bottom="0.75" footer="0.0" header="0.0" left="0.0" right="0.0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4" width="8.71"/>
    <col customWidth="1" min="5" max="5" width="10.14"/>
    <col customWidth="1" min="6" max="7" width="11.29"/>
    <col customWidth="1" min="8" max="8" width="8.71"/>
    <col customWidth="1" min="9" max="9" width="11.29"/>
    <col customWidth="1" min="10" max="10" width="8.71"/>
    <col customWidth="1" min="11" max="11" width="13.14"/>
    <col customWidth="1" min="12" max="28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34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 t="s">
        <v>67</v>
      </c>
      <c r="B6" s="6"/>
      <c r="C6" s="6"/>
      <c r="D6" s="6"/>
      <c r="E6" s="6"/>
      <c r="F6" s="6"/>
      <c r="G6" s="6"/>
      <c r="H6" s="6"/>
      <c r="I6" s="6"/>
      <c r="J6" s="6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28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4.75" customHeight="1">
      <c r="A8" s="11">
        <v>1.0</v>
      </c>
      <c r="B8" s="13" t="s">
        <v>46</v>
      </c>
      <c r="C8" s="13" t="s">
        <v>17</v>
      </c>
      <c r="D8" s="13" t="s">
        <v>18</v>
      </c>
      <c r="E8" s="14">
        <v>45089.0</v>
      </c>
      <c r="F8" s="15">
        <v>3868.112540969699</v>
      </c>
      <c r="G8" s="15">
        <v>18.47</v>
      </c>
      <c r="H8" s="16">
        <f t="shared" ref="H8:H35" si="1">F8*0.83%</f>
        <v>32.10533409</v>
      </c>
      <c r="I8" s="16">
        <f t="shared" ref="I8:I35" si="2">F8+G8+H8</f>
        <v>3918.687875</v>
      </c>
      <c r="J8" s="13"/>
      <c r="K8" s="16">
        <f t="shared" ref="K8:K35" si="3">I8-J8</f>
        <v>3918.687875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11">
        <v>2.0</v>
      </c>
      <c r="B9" s="13" t="s">
        <v>33</v>
      </c>
      <c r="C9" s="13" t="s">
        <v>17</v>
      </c>
      <c r="D9" s="13" t="s">
        <v>18</v>
      </c>
      <c r="E9" s="14">
        <v>45060.0</v>
      </c>
      <c r="F9" s="15">
        <v>6057.700783664525</v>
      </c>
      <c r="G9" s="15"/>
      <c r="H9" s="16">
        <f t="shared" si="1"/>
        <v>50.2789165</v>
      </c>
      <c r="I9" s="16">
        <f t="shared" si="2"/>
        <v>6107.9797</v>
      </c>
      <c r="J9" s="13"/>
      <c r="K9" s="16">
        <f t="shared" si="3"/>
        <v>6107.9797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11">
        <v>3.0</v>
      </c>
      <c r="B10" s="13" t="s">
        <v>34</v>
      </c>
      <c r="C10" s="13" t="s">
        <v>17</v>
      </c>
      <c r="D10" s="13" t="s">
        <v>18</v>
      </c>
      <c r="E10" s="14">
        <v>45087.0</v>
      </c>
      <c r="F10" s="15">
        <v>5763.53806605207</v>
      </c>
      <c r="G10" s="15">
        <v>50.0</v>
      </c>
      <c r="H10" s="16">
        <f t="shared" si="1"/>
        <v>47.83736595</v>
      </c>
      <c r="I10" s="16">
        <f t="shared" si="2"/>
        <v>5861.375432</v>
      </c>
      <c r="J10" s="13"/>
      <c r="K10" s="16">
        <f t="shared" si="3"/>
        <v>5861.375432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11">
        <v>4.0</v>
      </c>
      <c r="B11" s="13" t="s">
        <v>35</v>
      </c>
      <c r="C11" s="13" t="s">
        <v>22</v>
      </c>
      <c r="D11" s="13" t="s">
        <v>18</v>
      </c>
      <c r="E11" s="14">
        <v>45026.0</v>
      </c>
      <c r="F11" s="15">
        <v>5402.938999109481</v>
      </c>
      <c r="G11" s="15"/>
      <c r="H11" s="16">
        <f t="shared" si="1"/>
        <v>44.84439369</v>
      </c>
      <c r="I11" s="16">
        <f t="shared" si="2"/>
        <v>5447.783393</v>
      </c>
      <c r="J11" s="13"/>
      <c r="K11" s="16">
        <f t="shared" si="3"/>
        <v>5447.783393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11">
        <v>5.0</v>
      </c>
      <c r="B12" s="13" t="s">
        <v>36</v>
      </c>
      <c r="C12" s="13" t="s">
        <v>17</v>
      </c>
      <c r="D12" s="13" t="s">
        <v>18</v>
      </c>
      <c r="E12" s="14">
        <v>45087.0</v>
      </c>
      <c r="F12" s="15">
        <v>311.84651320106644</v>
      </c>
      <c r="G12" s="15">
        <v>30.0</v>
      </c>
      <c r="H12" s="16">
        <f t="shared" si="1"/>
        <v>2.58832606</v>
      </c>
      <c r="I12" s="16">
        <f t="shared" si="2"/>
        <v>344.4348393</v>
      </c>
      <c r="J12" s="13"/>
      <c r="K12" s="16">
        <f t="shared" si="3"/>
        <v>344.4348393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11">
        <v>6.0</v>
      </c>
      <c r="B13" s="13" t="s">
        <v>47</v>
      </c>
      <c r="C13" s="13" t="s">
        <v>17</v>
      </c>
      <c r="D13" s="13" t="s">
        <v>18</v>
      </c>
      <c r="E13" s="14">
        <v>45087.0</v>
      </c>
      <c r="F13" s="15">
        <v>2271.997091456091</v>
      </c>
      <c r="G13" s="15">
        <v>12.27</v>
      </c>
      <c r="H13" s="16">
        <f t="shared" si="1"/>
        <v>18.85757586</v>
      </c>
      <c r="I13" s="16">
        <f t="shared" si="2"/>
        <v>2303.124667</v>
      </c>
      <c r="J13" s="13"/>
      <c r="K13" s="16">
        <f t="shared" si="3"/>
        <v>2303.124667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11">
        <v>7.0</v>
      </c>
      <c r="B14" s="13" t="s">
        <v>38</v>
      </c>
      <c r="C14" s="13" t="s">
        <v>17</v>
      </c>
      <c r="D14" s="13" t="s">
        <v>18</v>
      </c>
      <c r="E14" s="14">
        <v>45087.0</v>
      </c>
      <c r="F14" s="15">
        <v>5733.104800520643</v>
      </c>
      <c r="G14" s="15">
        <v>74.04</v>
      </c>
      <c r="H14" s="16">
        <f t="shared" si="1"/>
        <v>47.58476984</v>
      </c>
      <c r="I14" s="16">
        <f t="shared" si="2"/>
        <v>5854.72957</v>
      </c>
      <c r="J14" s="13"/>
      <c r="K14" s="16">
        <f t="shared" si="3"/>
        <v>5854.72957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11">
        <v>8.0</v>
      </c>
      <c r="B15" s="13" t="s">
        <v>48</v>
      </c>
      <c r="C15" s="13" t="s">
        <v>17</v>
      </c>
      <c r="D15" s="13" t="s">
        <v>18</v>
      </c>
      <c r="E15" s="14">
        <v>45087.0</v>
      </c>
      <c r="F15" s="15">
        <v>5086.046346549604</v>
      </c>
      <c r="G15" s="15">
        <v>100.0</v>
      </c>
      <c r="H15" s="16">
        <f t="shared" si="1"/>
        <v>42.21418468</v>
      </c>
      <c r="I15" s="16">
        <f t="shared" si="2"/>
        <v>5228.260531</v>
      </c>
      <c r="J15" s="13"/>
      <c r="K15" s="16">
        <f t="shared" si="3"/>
        <v>5228.260531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11">
        <v>9.0</v>
      </c>
      <c r="B16" s="13" t="s">
        <v>49</v>
      </c>
      <c r="C16" s="13" t="s">
        <v>17</v>
      </c>
      <c r="D16" s="13" t="s">
        <v>30</v>
      </c>
      <c r="E16" s="14">
        <v>45084.0</v>
      </c>
      <c r="F16" s="15">
        <v>20.250380658934997</v>
      </c>
      <c r="G16" s="15">
        <v>5.0</v>
      </c>
      <c r="H16" s="16">
        <f t="shared" si="1"/>
        <v>0.1680781595</v>
      </c>
      <c r="I16" s="16">
        <f t="shared" si="2"/>
        <v>25.41845882</v>
      </c>
      <c r="J16" s="13"/>
      <c r="K16" s="16">
        <f t="shared" si="3"/>
        <v>25.41845882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11">
        <v>10.0</v>
      </c>
      <c r="B17" s="13" t="s">
        <v>58</v>
      </c>
      <c r="C17" s="13" t="s">
        <v>22</v>
      </c>
      <c r="D17" s="13" t="s">
        <v>30</v>
      </c>
      <c r="E17" s="14">
        <v>45084.0</v>
      </c>
      <c r="F17" s="15">
        <v>60.83552263574</v>
      </c>
      <c r="G17" s="15">
        <v>20.0</v>
      </c>
      <c r="H17" s="16">
        <f t="shared" si="1"/>
        <v>0.5049348379</v>
      </c>
      <c r="I17" s="16">
        <f t="shared" si="2"/>
        <v>81.34045747</v>
      </c>
      <c r="J17" s="13"/>
      <c r="K17" s="16">
        <f t="shared" si="3"/>
        <v>81.34045747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11">
        <v>11.0</v>
      </c>
      <c r="B18" s="13" t="s">
        <v>51</v>
      </c>
      <c r="C18" s="13"/>
      <c r="D18" s="13" t="s">
        <v>30</v>
      </c>
      <c r="E18" s="14">
        <v>45086.0</v>
      </c>
      <c r="F18" s="15">
        <v>20.41776131787</v>
      </c>
      <c r="G18" s="15">
        <v>10.0</v>
      </c>
      <c r="H18" s="16">
        <f t="shared" si="1"/>
        <v>0.1694674189</v>
      </c>
      <c r="I18" s="16">
        <f t="shared" si="2"/>
        <v>30.58722874</v>
      </c>
      <c r="J18" s="13"/>
      <c r="K18" s="16">
        <f t="shared" si="3"/>
        <v>30.58722874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11">
        <v>12.0</v>
      </c>
      <c r="B19" s="13" t="s">
        <v>52</v>
      </c>
      <c r="C19" s="13"/>
      <c r="D19" s="13" t="s">
        <v>30</v>
      </c>
      <c r="E19" s="14">
        <v>45029.0</v>
      </c>
      <c r="F19" s="15">
        <v>76.46286208935</v>
      </c>
      <c r="G19" s="15"/>
      <c r="H19" s="16">
        <f t="shared" si="1"/>
        <v>0.6346417553</v>
      </c>
      <c r="I19" s="16">
        <f t="shared" si="2"/>
        <v>77.09750384</v>
      </c>
      <c r="J19" s="13"/>
      <c r="K19" s="16">
        <f t="shared" si="3"/>
        <v>77.09750384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4.75" customHeight="1">
      <c r="A20" s="11">
        <v>13.0</v>
      </c>
      <c r="B20" s="13" t="s">
        <v>68</v>
      </c>
      <c r="C20" s="13"/>
      <c r="D20" s="13" t="s">
        <v>30</v>
      </c>
      <c r="E20" s="14">
        <v>45088.0</v>
      </c>
      <c r="F20" s="15">
        <v>20.50214483574</v>
      </c>
      <c r="G20" s="15">
        <v>20.0</v>
      </c>
      <c r="H20" s="16">
        <f t="shared" si="1"/>
        <v>0.1701678021</v>
      </c>
      <c r="I20" s="16">
        <f t="shared" si="2"/>
        <v>40.67231264</v>
      </c>
      <c r="J20" s="13"/>
      <c r="K20" s="16">
        <f t="shared" si="3"/>
        <v>40.67231264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11">
        <v>14.0</v>
      </c>
      <c r="B21" s="12" t="s">
        <v>54</v>
      </c>
      <c r="C21" s="12" t="s">
        <v>17</v>
      </c>
      <c r="D21" s="12" t="s">
        <v>30</v>
      </c>
      <c r="E21" s="22">
        <v>45079.0</v>
      </c>
      <c r="F21" s="15">
        <v>405.00761317870007</v>
      </c>
      <c r="G21" s="15">
        <v>100.0</v>
      </c>
      <c r="H21" s="15">
        <f t="shared" si="1"/>
        <v>3.361563189</v>
      </c>
      <c r="I21" s="15">
        <f t="shared" si="2"/>
        <v>508.3691764</v>
      </c>
      <c r="J21" s="12"/>
      <c r="K21" s="15">
        <f t="shared" si="3"/>
        <v>508.3691764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11">
        <v>15.0</v>
      </c>
      <c r="B22" s="13" t="s">
        <v>55</v>
      </c>
      <c r="C22" s="13"/>
      <c r="D22" s="13" t="s">
        <v>30</v>
      </c>
      <c r="E22" s="14">
        <v>45056.0</v>
      </c>
      <c r="F22" s="15">
        <v>50.500072417869994</v>
      </c>
      <c r="G22" s="15"/>
      <c r="H22" s="16">
        <f t="shared" si="1"/>
        <v>0.4191506011</v>
      </c>
      <c r="I22" s="16">
        <f t="shared" si="2"/>
        <v>50.91922302</v>
      </c>
      <c r="J22" s="13"/>
      <c r="K22" s="16">
        <f t="shared" si="3"/>
        <v>50.91922302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11">
        <v>16.0</v>
      </c>
      <c r="B23" s="13" t="s">
        <v>56</v>
      </c>
      <c r="C23" s="13"/>
      <c r="D23" s="13" t="s">
        <v>30</v>
      </c>
      <c r="E23" s="14">
        <v>45059.0</v>
      </c>
      <c r="F23" s="15">
        <v>81.00152263573999</v>
      </c>
      <c r="G23" s="15">
        <v>20.0</v>
      </c>
      <c r="H23" s="16">
        <f t="shared" si="1"/>
        <v>0.6723126379</v>
      </c>
      <c r="I23" s="16">
        <f t="shared" si="2"/>
        <v>101.6738353</v>
      </c>
      <c r="J23" s="13"/>
      <c r="K23" s="16">
        <f t="shared" si="3"/>
        <v>101.6738353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11">
        <v>17.0</v>
      </c>
      <c r="B24" s="13" t="s">
        <v>40</v>
      </c>
      <c r="C24" s="13" t="s">
        <v>17</v>
      </c>
      <c r="D24" s="13" t="s">
        <v>30</v>
      </c>
      <c r="E24" s="14">
        <v>45083.0</v>
      </c>
      <c r="F24" s="15">
        <v>308.62906312417675</v>
      </c>
      <c r="G24" s="16">
        <v>25.0</v>
      </c>
      <c r="H24" s="16">
        <f t="shared" si="1"/>
        <v>2.561621224</v>
      </c>
      <c r="I24" s="16">
        <f t="shared" si="2"/>
        <v>336.1906843</v>
      </c>
      <c r="J24" s="13"/>
      <c r="K24" s="16">
        <f t="shared" si="3"/>
        <v>336.1906843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11">
        <v>18.0</v>
      </c>
      <c r="B25" s="12" t="s">
        <v>41</v>
      </c>
      <c r="C25" s="12" t="s">
        <v>17</v>
      </c>
      <c r="D25" s="12" t="s">
        <v>30</v>
      </c>
      <c r="E25" s="22">
        <v>45085.0</v>
      </c>
      <c r="F25" s="15">
        <v>35.58583947733916</v>
      </c>
      <c r="G25" s="23">
        <v>10.0</v>
      </c>
      <c r="H25" s="15">
        <f t="shared" si="1"/>
        <v>0.2953624677</v>
      </c>
      <c r="I25" s="15">
        <f t="shared" si="2"/>
        <v>45.88120195</v>
      </c>
      <c r="J25" s="12"/>
      <c r="K25" s="15">
        <f t="shared" si="3"/>
        <v>45.88120195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11">
        <v>19.0</v>
      </c>
      <c r="B26" s="13" t="s">
        <v>42</v>
      </c>
      <c r="C26" s="13" t="s">
        <v>22</v>
      </c>
      <c r="D26" s="13" t="s">
        <v>30</v>
      </c>
      <c r="E26" s="14">
        <v>45083.0</v>
      </c>
      <c r="F26" s="15">
        <v>101.67383527361663</v>
      </c>
      <c r="G26" s="20">
        <v>20.0</v>
      </c>
      <c r="H26" s="16">
        <f t="shared" si="1"/>
        <v>0.8438928328</v>
      </c>
      <c r="I26" s="16">
        <f t="shared" si="2"/>
        <v>122.5177281</v>
      </c>
      <c r="J26" s="13"/>
      <c r="K26" s="16">
        <f t="shared" si="3"/>
        <v>122.5177281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11">
        <v>20.0</v>
      </c>
      <c r="B27" s="13" t="s">
        <v>43</v>
      </c>
      <c r="C27" s="13"/>
      <c r="D27" s="13" t="s">
        <v>30</v>
      </c>
      <c r="E27" s="14">
        <v>45088.0</v>
      </c>
      <c r="F27" s="15">
        <v>30.417072417869996</v>
      </c>
      <c r="G27" s="20">
        <v>20.0</v>
      </c>
      <c r="H27" s="16">
        <f t="shared" si="1"/>
        <v>0.2524617011</v>
      </c>
      <c r="I27" s="16">
        <f t="shared" si="2"/>
        <v>50.66953412</v>
      </c>
      <c r="J27" s="13"/>
      <c r="K27" s="16">
        <f t="shared" si="3"/>
        <v>50.66953412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11">
        <v>21.0</v>
      </c>
      <c r="B28" s="13" t="s">
        <v>59</v>
      </c>
      <c r="C28" s="13" t="s">
        <v>22</v>
      </c>
      <c r="D28" s="13" t="s">
        <v>30</v>
      </c>
      <c r="E28" s="14">
        <v>44993.0</v>
      </c>
      <c r="F28" s="15">
        <v>5.08334445</v>
      </c>
      <c r="G28" s="20"/>
      <c r="H28" s="16">
        <f t="shared" si="1"/>
        <v>0.04219175894</v>
      </c>
      <c r="I28" s="16">
        <f t="shared" si="2"/>
        <v>5.125536209</v>
      </c>
      <c r="J28" s="13"/>
      <c r="K28" s="16">
        <f t="shared" si="3"/>
        <v>5.125536209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11">
        <v>22.0</v>
      </c>
      <c r="B29" s="12" t="s">
        <v>44</v>
      </c>
      <c r="C29" s="12" t="s">
        <v>22</v>
      </c>
      <c r="D29" s="12" t="s">
        <v>30</v>
      </c>
      <c r="E29" s="22">
        <v>45086.0</v>
      </c>
      <c r="F29" s="15">
        <v>60.87765</v>
      </c>
      <c r="G29" s="23">
        <v>15.0</v>
      </c>
      <c r="H29" s="15">
        <f t="shared" si="1"/>
        <v>0.505284495</v>
      </c>
      <c r="I29" s="15">
        <f t="shared" si="2"/>
        <v>76.3829345</v>
      </c>
      <c r="J29" s="12"/>
      <c r="K29" s="15">
        <f t="shared" si="3"/>
        <v>76.3829345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11">
        <v>23.0</v>
      </c>
      <c r="B30" s="13" t="s">
        <v>61</v>
      </c>
      <c r="C30" s="13"/>
      <c r="D30" s="13" t="s">
        <v>30</v>
      </c>
      <c r="E30" s="14">
        <v>45059.0</v>
      </c>
      <c r="F30" s="15">
        <v>75.415</v>
      </c>
      <c r="G30" s="20"/>
      <c r="H30" s="16">
        <f t="shared" si="1"/>
        <v>0.6259445</v>
      </c>
      <c r="I30" s="16">
        <f t="shared" si="2"/>
        <v>76.0409445</v>
      </c>
      <c r="J30" s="13"/>
      <c r="K30" s="16">
        <f t="shared" si="3"/>
        <v>76.0409445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11">
        <v>24.0</v>
      </c>
      <c r="B31" s="13" t="s">
        <v>63</v>
      </c>
      <c r="C31" s="13"/>
      <c r="D31" s="13" t="s">
        <v>30</v>
      </c>
      <c r="E31" s="14">
        <v>45088.0</v>
      </c>
      <c r="F31" s="15">
        <v>50.0</v>
      </c>
      <c r="G31" s="20">
        <v>50.0</v>
      </c>
      <c r="H31" s="16">
        <f t="shared" si="1"/>
        <v>0.415</v>
      </c>
      <c r="I31" s="16">
        <f t="shared" si="2"/>
        <v>100.415</v>
      </c>
      <c r="J31" s="13"/>
      <c r="K31" s="16">
        <f t="shared" si="3"/>
        <v>100.415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11">
        <v>25.0</v>
      </c>
      <c r="B32" s="13" t="s">
        <v>64</v>
      </c>
      <c r="C32" s="13"/>
      <c r="D32" s="13" t="s">
        <v>30</v>
      </c>
      <c r="E32" s="14">
        <v>45087.0</v>
      </c>
      <c r="F32" s="15">
        <v>100.0</v>
      </c>
      <c r="G32" s="20">
        <v>10.0</v>
      </c>
      <c r="H32" s="16">
        <f t="shared" si="1"/>
        <v>0.83</v>
      </c>
      <c r="I32" s="16">
        <f t="shared" si="2"/>
        <v>110.83</v>
      </c>
      <c r="J32" s="13"/>
      <c r="K32" s="16">
        <f t="shared" si="3"/>
        <v>110.83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11">
        <v>26.0</v>
      </c>
      <c r="B33" s="13" t="s">
        <v>65</v>
      </c>
      <c r="C33" s="13"/>
      <c r="D33" s="13" t="s">
        <v>30</v>
      </c>
      <c r="E33" s="14">
        <v>45059.0</v>
      </c>
      <c r="F33" s="15">
        <v>20.0</v>
      </c>
      <c r="G33" s="20"/>
      <c r="H33" s="16">
        <f t="shared" si="1"/>
        <v>0.166</v>
      </c>
      <c r="I33" s="16">
        <f t="shared" si="2"/>
        <v>20.166</v>
      </c>
      <c r="J33" s="13"/>
      <c r="K33" s="16">
        <f t="shared" si="3"/>
        <v>20.166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11">
        <v>27.0</v>
      </c>
      <c r="B34" s="13" t="s">
        <v>69</v>
      </c>
      <c r="C34" s="13"/>
      <c r="D34" s="13" t="s">
        <v>30</v>
      </c>
      <c r="E34" s="14">
        <v>45060.0</v>
      </c>
      <c r="F34" s="15">
        <v>30.0</v>
      </c>
      <c r="G34" s="20"/>
      <c r="H34" s="16">
        <f t="shared" si="1"/>
        <v>0.249</v>
      </c>
      <c r="I34" s="16">
        <f t="shared" si="2"/>
        <v>30.249</v>
      </c>
      <c r="J34" s="13"/>
      <c r="K34" s="16">
        <f t="shared" si="3"/>
        <v>30.249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11">
        <v>28.0</v>
      </c>
      <c r="B35" s="13" t="s">
        <v>70</v>
      </c>
      <c r="C35" s="13" t="s">
        <v>17</v>
      </c>
      <c r="D35" s="13" t="s">
        <v>30</v>
      </c>
      <c r="E35" s="14">
        <v>45085.0</v>
      </c>
      <c r="F35" s="15">
        <v>200.0</v>
      </c>
      <c r="G35" s="20"/>
      <c r="H35" s="16">
        <f t="shared" si="1"/>
        <v>1.66</v>
      </c>
      <c r="I35" s="16">
        <f t="shared" si="2"/>
        <v>201.66</v>
      </c>
      <c r="J35" s="13"/>
      <c r="K35" s="16">
        <f t="shared" si="3"/>
        <v>201.66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1"/>
      <c r="B36" s="13"/>
      <c r="C36" s="13"/>
      <c r="D36" s="13"/>
      <c r="E36" s="13"/>
      <c r="F36" s="13"/>
      <c r="G36" s="13"/>
      <c r="H36" s="16"/>
      <c r="I36" s="16"/>
      <c r="J36" s="13"/>
      <c r="K36" s="1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7"/>
      <c r="B37" s="13"/>
      <c r="C37" s="13"/>
      <c r="D37" s="13"/>
      <c r="E37" s="13"/>
      <c r="F37" s="18">
        <f t="shared" ref="F37:K37" si="4">SUM(F8:F35)</f>
        <v>36247.94483</v>
      </c>
      <c r="G37" s="18">
        <f t="shared" si="4"/>
        <v>609.78</v>
      </c>
      <c r="H37" s="18">
        <f t="shared" si="4"/>
        <v>300.8579421</v>
      </c>
      <c r="I37" s="18">
        <f t="shared" si="4"/>
        <v>37158.58277</v>
      </c>
      <c r="J37" s="18">
        <f t="shared" si="4"/>
        <v>0</v>
      </c>
      <c r="K37" s="18">
        <f t="shared" si="4"/>
        <v>37158.58277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K3"/>
    <mergeCell ref="A4:K4"/>
    <mergeCell ref="A5:K5"/>
    <mergeCell ref="A6:K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4" width="8.71"/>
    <col customWidth="1" min="5" max="5" width="10.14"/>
    <col customWidth="1" min="6" max="7" width="11.29"/>
    <col customWidth="1" min="8" max="8" width="8.71"/>
    <col customWidth="1" min="9" max="9" width="11.29"/>
    <col customWidth="1" min="10" max="10" width="8.71"/>
    <col customWidth="1" min="11" max="11" width="13.14"/>
    <col customWidth="1" min="12" max="28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34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 t="s">
        <v>71</v>
      </c>
      <c r="B6" s="6"/>
      <c r="C6" s="6"/>
      <c r="D6" s="6"/>
      <c r="E6" s="6"/>
      <c r="F6" s="6"/>
      <c r="G6" s="6"/>
      <c r="H6" s="6"/>
      <c r="I6" s="6"/>
      <c r="J6" s="6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28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4.75" customHeight="1">
      <c r="A8" s="11">
        <v>1.0</v>
      </c>
      <c r="B8" s="13" t="s">
        <v>46</v>
      </c>
      <c r="C8" s="13" t="s">
        <v>17</v>
      </c>
      <c r="D8" s="13" t="s">
        <v>18</v>
      </c>
      <c r="E8" s="14">
        <v>45118.0</v>
      </c>
      <c r="F8" s="15">
        <v>3918.687875059747</v>
      </c>
      <c r="G8" s="15">
        <v>19.21</v>
      </c>
      <c r="H8" s="16">
        <f t="shared" ref="H8:H34" si="1">F8*0.83%</f>
        <v>32.52510936</v>
      </c>
      <c r="I8" s="16">
        <f t="shared" ref="I8:I35" si="2">F8+G8+H8</f>
        <v>3970.422984</v>
      </c>
      <c r="J8" s="13"/>
      <c r="K8" s="16">
        <f t="shared" ref="K8:K35" si="3">I8-J8</f>
        <v>3970.422984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11">
        <v>2.0</v>
      </c>
      <c r="B9" s="13" t="s">
        <v>33</v>
      </c>
      <c r="C9" s="13" t="s">
        <v>17</v>
      </c>
      <c r="D9" s="13" t="s">
        <v>18</v>
      </c>
      <c r="E9" s="14">
        <v>45122.0</v>
      </c>
      <c r="F9" s="15">
        <v>6107.979700168941</v>
      </c>
      <c r="G9" s="15">
        <v>30.0</v>
      </c>
      <c r="H9" s="16">
        <f t="shared" si="1"/>
        <v>50.69623151</v>
      </c>
      <c r="I9" s="16">
        <f t="shared" si="2"/>
        <v>6188.675932</v>
      </c>
      <c r="J9" s="13"/>
      <c r="K9" s="16">
        <f t="shared" si="3"/>
        <v>6188.675932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11">
        <v>3.0</v>
      </c>
      <c r="B10" s="13" t="s">
        <v>34</v>
      </c>
      <c r="C10" s="13" t="s">
        <v>17</v>
      </c>
      <c r="D10" s="13" t="s">
        <v>18</v>
      </c>
      <c r="E10" s="14">
        <v>45114.0</v>
      </c>
      <c r="F10" s="15">
        <v>5861.375432000302</v>
      </c>
      <c r="G10" s="15">
        <v>50.0</v>
      </c>
      <c r="H10" s="16">
        <f t="shared" si="1"/>
        <v>48.64941609</v>
      </c>
      <c r="I10" s="16">
        <f t="shared" si="2"/>
        <v>5960.024848</v>
      </c>
      <c r="J10" s="13"/>
      <c r="K10" s="16">
        <f t="shared" si="3"/>
        <v>5960.024848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11">
        <v>4.0</v>
      </c>
      <c r="B11" s="13" t="s">
        <v>35</v>
      </c>
      <c r="C11" s="13" t="s">
        <v>22</v>
      </c>
      <c r="D11" s="13" t="s">
        <v>18</v>
      </c>
      <c r="E11" s="14">
        <v>45026.0</v>
      </c>
      <c r="F11" s="15">
        <v>5447.78339280209</v>
      </c>
      <c r="G11" s="15"/>
      <c r="H11" s="16">
        <f t="shared" si="1"/>
        <v>45.21660216</v>
      </c>
      <c r="I11" s="16">
        <f t="shared" si="2"/>
        <v>5492.999995</v>
      </c>
      <c r="J11" s="13"/>
      <c r="K11" s="16">
        <f t="shared" si="3"/>
        <v>5492.999995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11">
        <v>5.0</v>
      </c>
      <c r="B12" s="13" t="s">
        <v>36</v>
      </c>
      <c r="C12" s="13" t="s">
        <v>17</v>
      </c>
      <c r="D12" s="13" t="s">
        <v>18</v>
      </c>
      <c r="E12" s="14">
        <v>45087.0</v>
      </c>
      <c r="F12" s="15">
        <v>344.4348392606353</v>
      </c>
      <c r="G12" s="15"/>
      <c r="H12" s="16">
        <f t="shared" si="1"/>
        <v>2.858809166</v>
      </c>
      <c r="I12" s="16">
        <f t="shared" si="2"/>
        <v>347.2936484</v>
      </c>
      <c r="J12" s="13"/>
      <c r="K12" s="16">
        <f t="shared" si="3"/>
        <v>347.2936484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11">
        <v>6.0</v>
      </c>
      <c r="B13" s="13" t="s">
        <v>47</v>
      </c>
      <c r="C13" s="13" t="s">
        <v>17</v>
      </c>
      <c r="D13" s="13" t="s">
        <v>18</v>
      </c>
      <c r="E13" s="14">
        <v>45114.0</v>
      </c>
      <c r="F13" s="15">
        <v>2303.1246673151763</v>
      </c>
      <c r="G13" s="15">
        <v>3.44</v>
      </c>
      <c r="H13" s="16">
        <f t="shared" si="1"/>
        <v>19.11593474</v>
      </c>
      <c r="I13" s="16">
        <f t="shared" si="2"/>
        <v>2325.680602</v>
      </c>
      <c r="J13" s="13"/>
      <c r="K13" s="16">
        <f t="shared" si="3"/>
        <v>2325.680602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11">
        <v>7.0</v>
      </c>
      <c r="B14" s="13" t="s">
        <v>38</v>
      </c>
      <c r="C14" s="13" t="s">
        <v>17</v>
      </c>
      <c r="D14" s="13" t="s">
        <v>18</v>
      </c>
      <c r="E14" s="14">
        <v>45116.0</v>
      </c>
      <c r="F14" s="15">
        <v>5854.729570364964</v>
      </c>
      <c r="G14" s="15">
        <v>27.36</v>
      </c>
      <c r="H14" s="16">
        <f t="shared" si="1"/>
        <v>48.59425543</v>
      </c>
      <c r="I14" s="16">
        <f t="shared" si="2"/>
        <v>5930.683826</v>
      </c>
      <c r="J14" s="13"/>
      <c r="K14" s="16">
        <f t="shared" si="3"/>
        <v>5930.683826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11">
        <v>8.0</v>
      </c>
      <c r="B15" s="13" t="s">
        <v>48</v>
      </c>
      <c r="C15" s="13" t="s">
        <v>17</v>
      </c>
      <c r="D15" s="13" t="s">
        <v>18</v>
      </c>
      <c r="E15" s="14">
        <v>45114.0</v>
      </c>
      <c r="F15" s="15">
        <v>5228.260531225966</v>
      </c>
      <c r="G15" s="15">
        <v>100.0</v>
      </c>
      <c r="H15" s="16">
        <f t="shared" si="1"/>
        <v>43.39456241</v>
      </c>
      <c r="I15" s="16">
        <f t="shared" si="2"/>
        <v>5371.655094</v>
      </c>
      <c r="J15" s="13"/>
      <c r="K15" s="16">
        <f t="shared" si="3"/>
        <v>5371.655094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11">
        <v>9.0</v>
      </c>
      <c r="B16" s="13" t="s">
        <v>49</v>
      </c>
      <c r="C16" s="13" t="s">
        <v>17</v>
      </c>
      <c r="D16" s="13" t="s">
        <v>30</v>
      </c>
      <c r="E16" s="14">
        <v>45114.0</v>
      </c>
      <c r="F16" s="15">
        <v>25.418458818404158</v>
      </c>
      <c r="G16" s="15">
        <v>5.0</v>
      </c>
      <c r="H16" s="16">
        <f t="shared" si="1"/>
        <v>0.2109732082</v>
      </c>
      <c r="I16" s="16">
        <f t="shared" si="2"/>
        <v>30.62943203</v>
      </c>
      <c r="J16" s="13"/>
      <c r="K16" s="16">
        <f t="shared" si="3"/>
        <v>30.62943203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11">
        <v>10.0</v>
      </c>
      <c r="B17" s="13" t="s">
        <v>58</v>
      </c>
      <c r="C17" s="13" t="s">
        <v>17</v>
      </c>
      <c r="D17" s="13" t="s">
        <v>30</v>
      </c>
      <c r="E17" s="14">
        <v>45086.0</v>
      </c>
      <c r="F17" s="15">
        <v>81.34045747361665</v>
      </c>
      <c r="G17" s="15"/>
      <c r="H17" s="16">
        <f t="shared" si="1"/>
        <v>0.675125797</v>
      </c>
      <c r="I17" s="16">
        <f t="shared" si="2"/>
        <v>82.01558327</v>
      </c>
      <c r="J17" s="13"/>
      <c r="K17" s="16">
        <f t="shared" si="3"/>
        <v>82.01558327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11">
        <v>11.0</v>
      </c>
      <c r="B18" s="13" t="s">
        <v>51</v>
      </c>
      <c r="C18" s="13"/>
      <c r="D18" s="13" t="s">
        <v>30</v>
      </c>
      <c r="E18" s="14">
        <v>45114.0</v>
      </c>
      <c r="F18" s="15">
        <v>30.58722873680832</v>
      </c>
      <c r="G18" s="15">
        <v>10.0</v>
      </c>
      <c r="H18" s="16">
        <f t="shared" si="1"/>
        <v>0.2538739985</v>
      </c>
      <c r="I18" s="16">
        <f t="shared" si="2"/>
        <v>40.84110274</v>
      </c>
      <c r="J18" s="13"/>
      <c r="K18" s="16">
        <f t="shared" si="3"/>
        <v>40.84110274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11">
        <v>12.0</v>
      </c>
      <c r="B19" s="13" t="s">
        <v>52</v>
      </c>
      <c r="C19" s="13"/>
      <c r="D19" s="13" t="s">
        <v>30</v>
      </c>
      <c r="E19" s="14">
        <v>45029.0</v>
      </c>
      <c r="F19" s="15">
        <v>77.0975038446916</v>
      </c>
      <c r="G19" s="15"/>
      <c r="H19" s="16">
        <f t="shared" si="1"/>
        <v>0.6399092819</v>
      </c>
      <c r="I19" s="16">
        <f t="shared" si="2"/>
        <v>77.73741313</v>
      </c>
      <c r="J19" s="13"/>
      <c r="K19" s="16">
        <f t="shared" si="3"/>
        <v>77.73741313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4.75" customHeight="1">
      <c r="A20" s="11">
        <v>13.0</v>
      </c>
      <c r="B20" s="13" t="s">
        <v>72</v>
      </c>
      <c r="C20" s="13"/>
      <c r="D20" s="13" t="s">
        <v>30</v>
      </c>
      <c r="E20" s="14">
        <v>45118.0</v>
      </c>
      <c r="F20" s="15">
        <v>40.67231263787664</v>
      </c>
      <c r="G20" s="15">
        <v>20.0</v>
      </c>
      <c r="H20" s="16">
        <f t="shared" si="1"/>
        <v>0.3375801949</v>
      </c>
      <c r="I20" s="16">
        <f t="shared" si="2"/>
        <v>61.00989283</v>
      </c>
      <c r="J20" s="13"/>
      <c r="K20" s="16">
        <f t="shared" si="3"/>
        <v>61.00989283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11">
        <v>14.0</v>
      </c>
      <c r="B21" s="12" t="s">
        <v>54</v>
      </c>
      <c r="C21" s="12" t="s">
        <v>17</v>
      </c>
      <c r="D21" s="12" t="s">
        <v>30</v>
      </c>
      <c r="E21" s="22">
        <v>45079.0</v>
      </c>
      <c r="F21" s="15">
        <v>508.3691763680833</v>
      </c>
      <c r="G21" s="15"/>
      <c r="H21" s="15">
        <f t="shared" si="1"/>
        <v>4.219464164</v>
      </c>
      <c r="I21" s="15">
        <f t="shared" si="2"/>
        <v>512.5886405</v>
      </c>
      <c r="J21" s="12"/>
      <c r="K21" s="15">
        <f t="shared" si="3"/>
        <v>512.5886405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11">
        <v>15.0</v>
      </c>
      <c r="B22" s="13" t="s">
        <v>55</v>
      </c>
      <c r="C22" s="13"/>
      <c r="D22" s="13" t="s">
        <v>30</v>
      </c>
      <c r="E22" s="14">
        <v>45056.0</v>
      </c>
      <c r="F22" s="15">
        <v>50.91922301893832</v>
      </c>
      <c r="G22" s="15"/>
      <c r="H22" s="16">
        <f t="shared" si="1"/>
        <v>0.4226295511</v>
      </c>
      <c r="I22" s="16">
        <f t="shared" si="2"/>
        <v>51.34185257</v>
      </c>
      <c r="J22" s="13"/>
      <c r="K22" s="16">
        <f t="shared" si="3"/>
        <v>51.34185257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11">
        <v>16.0</v>
      </c>
      <c r="B23" s="13" t="s">
        <v>56</v>
      </c>
      <c r="C23" s="13"/>
      <c r="D23" s="13" t="s">
        <v>30</v>
      </c>
      <c r="E23" s="14">
        <v>45104.0</v>
      </c>
      <c r="F23" s="15">
        <v>101.67383527361663</v>
      </c>
      <c r="G23" s="15">
        <v>20.0</v>
      </c>
      <c r="H23" s="16">
        <f t="shared" si="1"/>
        <v>0.8438928328</v>
      </c>
      <c r="I23" s="16">
        <f t="shared" si="2"/>
        <v>122.5177281</v>
      </c>
      <c r="J23" s="13"/>
      <c r="K23" s="16">
        <f t="shared" si="3"/>
        <v>122.5177281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11">
        <v>17.0</v>
      </c>
      <c r="B24" s="13" t="s">
        <v>40</v>
      </c>
      <c r="C24" s="13" t="s">
        <v>17</v>
      </c>
      <c r="D24" s="13" t="s">
        <v>30</v>
      </c>
      <c r="E24" s="14">
        <v>45114.0</v>
      </c>
      <c r="F24" s="15">
        <v>336.1906843481074</v>
      </c>
      <c r="G24" s="16">
        <v>25.0</v>
      </c>
      <c r="H24" s="16">
        <f t="shared" si="1"/>
        <v>2.79038268</v>
      </c>
      <c r="I24" s="16">
        <f t="shared" si="2"/>
        <v>363.981067</v>
      </c>
      <c r="J24" s="13"/>
      <c r="K24" s="16">
        <f t="shared" si="3"/>
        <v>363.981067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11">
        <v>18.0</v>
      </c>
      <c r="B25" s="12" t="s">
        <v>41</v>
      </c>
      <c r="C25" s="12" t="s">
        <v>17</v>
      </c>
      <c r="D25" s="12" t="s">
        <v>30</v>
      </c>
      <c r="E25" s="22">
        <v>45115.0</v>
      </c>
      <c r="F25" s="15">
        <v>45.881201945001074</v>
      </c>
      <c r="G25" s="23">
        <v>10.0</v>
      </c>
      <c r="H25" s="15">
        <f t="shared" si="1"/>
        <v>0.3808139761</v>
      </c>
      <c r="I25" s="15">
        <f t="shared" si="2"/>
        <v>56.26201592</v>
      </c>
      <c r="J25" s="12"/>
      <c r="K25" s="15">
        <f t="shared" si="3"/>
        <v>56.26201592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11">
        <v>19.0</v>
      </c>
      <c r="B26" s="13" t="s">
        <v>42</v>
      </c>
      <c r="C26" s="13" t="s">
        <v>22</v>
      </c>
      <c r="D26" s="13" t="s">
        <v>30</v>
      </c>
      <c r="E26" s="14">
        <v>45114.0</v>
      </c>
      <c r="F26" s="15">
        <v>122.51772810638765</v>
      </c>
      <c r="G26" s="20">
        <v>20.0</v>
      </c>
      <c r="H26" s="16">
        <f t="shared" si="1"/>
        <v>1.016897143</v>
      </c>
      <c r="I26" s="16">
        <f t="shared" si="2"/>
        <v>143.5346252</v>
      </c>
      <c r="J26" s="13"/>
      <c r="K26" s="16">
        <f t="shared" si="3"/>
        <v>143.5346252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11">
        <v>20.0</v>
      </c>
      <c r="B27" s="13" t="s">
        <v>43</v>
      </c>
      <c r="C27" s="13"/>
      <c r="D27" s="13" t="s">
        <v>30</v>
      </c>
      <c r="E27" s="14">
        <v>45088.0</v>
      </c>
      <c r="F27" s="15">
        <v>50.669534118938316</v>
      </c>
      <c r="G27" s="20"/>
      <c r="H27" s="16">
        <f t="shared" si="1"/>
        <v>0.4205571332</v>
      </c>
      <c r="I27" s="16">
        <f t="shared" si="2"/>
        <v>51.09009125</v>
      </c>
      <c r="J27" s="13"/>
      <c r="K27" s="16">
        <f t="shared" si="3"/>
        <v>51.09009125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11">
        <v>21.0</v>
      </c>
      <c r="B28" s="13" t="s">
        <v>59</v>
      </c>
      <c r="C28" s="13" t="s">
        <v>22</v>
      </c>
      <c r="D28" s="13" t="s">
        <v>30</v>
      </c>
      <c r="E28" s="14">
        <v>44993.0</v>
      </c>
      <c r="F28" s="15">
        <v>5.125536208935</v>
      </c>
      <c r="G28" s="20"/>
      <c r="H28" s="16">
        <f t="shared" si="1"/>
        <v>0.04254195053</v>
      </c>
      <c r="I28" s="16">
        <f t="shared" si="2"/>
        <v>5.168078159</v>
      </c>
      <c r="J28" s="13"/>
      <c r="K28" s="16">
        <f t="shared" si="3"/>
        <v>5.168078159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11">
        <v>22.0</v>
      </c>
      <c r="B29" s="12" t="s">
        <v>44</v>
      </c>
      <c r="C29" s="12" t="s">
        <v>22</v>
      </c>
      <c r="D29" s="12" t="s">
        <v>30</v>
      </c>
      <c r="E29" s="22">
        <v>45114.0</v>
      </c>
      <c r="F29" s="15">
        <v>76.382934495</v>
      </c>
      <c r="G29" s="23">
        <v>15.0</v>
      </c>
      <c r="H29" s="15">
        <f t="shared" si="1"/>
        <v>0.6339783563</v>
      </c>
      <c r="I29" s="15">
        <f t="shared" si="2"/>
        <v>92.01691285</v>
      </c>
      <c r="J29" s="12"/>
      <c r="K29" s="15">
        <f t="shared" si="3"/>
        <v>92.01691285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11">
        <v>23.0</v>
      </c>
      <c r="B30" s="13" t="s">
        <v>61</v>
      </c>
      <c r="C30" s="13"/>
      <c r="D30" s="13" t="s">
        <v>30</v>
      </c>
      <c r="E30" s="14">
        <v>45059.0</v>
      </c>
      <c r="F30" s="15">
        <v>76.04094450000001</v>
      </c>
      <c r="G30" s="20"/>
      <c r="H30" s="16">
        <f t="shared" si="1"/>
        <v>0.6311398394</v>
      </c>
      <c r="I30" s="16">
        <f t="shared" si="2"/>
        <v>76.67208434</v>
      </c>
      <c r="J30" s="13"/>
      <c r="K30" s="16">
        <f t="shared" si="3"/>
        <v>76.67208434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11">
        <v>24.0</v>
      </c>
      <c r="B31" s="13" t="s">
        <v>63</v>
      </c>
      <c r="C31" s="13"/>
      <c r="D31" s="13" t="s">
        <v>30</v>
      </c>
      <c r="E31" s="14">
        <v>45088.0</v>
      </c>
      <c r="F31" s="15">
        <v>100.415</v>
      </c>
      <c r="G31" s="20"/>
      <c r="H31" s="16">
        <f t="shared" si="1"/>
        <v>0.8334445</v>
      </c>
      <c r="I31" s="16">
        <f t="shared" si="2"/>
        <v>101.2484445</v>
      </c>
      <c r="J31" s="13"/>
      <c r="K31" s="16">
        <f t="shared" si="3"/>
        <v>101.2484445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11">
        <v>25.0</v>
      </c>
      <c r="B32" s="13" t="s">
        <v>64</v>
      </c>
      <c r="C32" s="13"/>
      <c r="D32" s="13" t="s">
        <v>30</v>
      </c>
      <c r="E32" s="14">
        <v>45118.0</v>
      </c>
      <c r="F32" s="15">
        <v>110.83</v>
      </c>
      <c r="G32" s="20">
        <v>100.0</v>
      </c>
      <c r="H32" s="16">
        <f t="shared" si="1"/>
        <v>0.919889</v>
      </c>
      <c r="I32" s="16">
        <f t="shared" si="2"/>
        <v>211.749889</v>
      </c>
      <c r="J32" s="13"/>
      <c r="K32" s="16">
        <f t="shared" si="3"/>
        <v>211.749889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11">
        <v>26.0</v>
      </c>
      <c r="B33" s="13" t="s">
        <v>65</v>
      </c>
      <c r="C33" s="13"/>
      <c r="D33" s="13" t="s">
        <v>30</v>
      </c>
      <c r="E33" s="14">
        <v>45059.0</v>
      </c>
      <c r="F33" s="15">
        <v>20.166</v>
      </c>
      <c r="G33" s="20"/>
      <c r="H33" s="16">
        <f t="shared" si="1"/>
        <v>0.1673778</v>
      </c>
      <c r="I33" s="16">
        <f t="shared" si="2"/>
        <v>20.3333778</v>
      </c>
      <c r="J33" s="13"/>
      <c r="K33" s="16">
        <f t="shared" si="3"/>
        <v>20.3333778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11">
        <v>27.0</v>
      </c>
      <c r="B34" s="13" t="s">
        <v>69</v>
      </c>
      <c r="C34" s="13"/>
      <c r="D34" s="13" t="s">
        <v>30</v>
      </c>
      <c r="E34" s="14">
        <v>45060.0</v>
      </c>
      <c r="F34" s="15">
        <v>30.249</v>
      </c>
      <c r="G34" s="20"/>
      <c r="H34" s="16">
        <f t="shared" si="1"/>
        <v>0.2510667</v>
      </c>
      <c r="I34" s="16">
        <f t="shared" si="2"/>
        <v>30.5000667</v>
      </c>
      <c r="J34" s="13"/>
      <c r="K34" s="16">
        <f t="shared" si="3"/>
        <v>30.5000667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11">
        <v>28.0</v>
      </c>
      <c r="B35" s="13" t="s">
        <v>70</v>
      </c>
      <c r="C35" s="13" t="s">
        <v>17</v>
      </c>
      <c r="D35" s="13" t="s">
        <v>30</v>
      </c>
      <c r="E35" s="14">
        <v>45085.0</v>
      </c>
      <c r="F35" s="15">
        <v>201.66</v>
      </c>
      <c r="G35" s="20"/>
      <c r="H35" s="16"/>
      <c r="I35" s="16">
        <f t="shared" si="2"/>
        <v>201.66</v>
      </c>
      <c r="J35" s="13"/>
      <c r="K35" s="16">
        <f t="shared" si="3"/>
        <v>201.66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1"/>
      <c r="B36" s="13"/>
      <c r="C36" s="13"/>
      <c r="D36" s="13"/>
      <c r="E36" s="13"/>
      <c r="F36" s="13"/>
      <c r="G36" s="13"/>
      <c r="H36" s="16"/>
      <c r="I36" s="16"/>
      <c r="J36" s="13"/>
      <c r="K36" s="1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7"/>
      <c r="B37" s="13"/>
      <c r="C37" s="13"/>
      <c r="D37" s="13"/>
      <c r="E37" s="13"/>
      <c r="F37" s="18">
        <f t="shared" ref="F37:K37" si="4">SUM(F8:F35)</f>
        <v>37158.58277</v>
      </c>
      <c r="G37" s="18">
        <f t="shared" si="4"/>
        <v>455.01</v>
      </c>
      <c r="H37" s="18">
        <f t="shared" si="4"/>
        <v>306.742459</v>
      </c>
      <c r="I37" s="18">
        <f t="shared" si="4"/>
        <v>37920.33523</v>
      </c>
      <c r="J37" s="18">
        <f t="shared" si="4"/>
        <v>0</v>
      </c>
      <c r="K37" s="18">
        <f t="shared" si="4"/>
        <v>37920.33523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K3"/>
    <mergeCell ref="A4:K4"/>
    <mergeCell ref="A5:K5"/>
    <mergeCell ref="A6:K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4" width="8.71"/>
    <col customWidth="1" min="5" max="5" width="10.14"/>
    <col customWidth="1" min="6" max="7" width="11.29"/>
    <col customWidth="1" min="8" max="8" width="8.71"/>
    <col customWidth="1" min="9" max="9" width="11.29"/>
    <col customWidth="1" min="10" max="10" width="8.71"/>
    <col customWidth="1" min="11" max="11" width="13.14"/>
    <col customWidth="1" min="12" max="28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34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 t="s">
        <v>73</v>
      </c>
      <c r="B6" s="6"/>
      <c r="C6" s="6"/>
      <c r="D6" s="6"/>
      <c r="E6" s="6"/>
      <c r="F6" s="6"/>
      <c r="G6" s="6"/>
      <c r="H6" s="6"/>
      <c r="I6" s="6"/>
      <c r="J6" s="6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28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4.75" customHeight="1">
      <c r="A8" s="11">
        <v>1.0</v>
      </c>
      <c r="B8" s="13" t="s">
        <v>46</v>
      </c>
      <c r="C8" s="13" t="s">
        <v>17</v>
      </c>
      <c r="D8" s="13" t="s">
        <v>18</v>
      </c>
      <c r="E8" s="14">
        <v>45149.0</v>
      </c>
      <c r="F8" s="15">
        <v>3970.422984422743</v>
      </c>
      <c r="G8" s="15">
        <v>9.94</v>
      </c>
      <c r="H8" s="16">
        <f t="shared" ref="H8:H34" si="1">F8*0.83%</f>
        <v>32.95451077</v>
      </c>
      <c r="I8" s="16">
        <f t="shared" ref="I8:I35" si="2">F8+G8+H8</f>
        <v>4013.317495</v>
      </c>
      <c r="J8" s="13"/>
      <c r="K8" s="16">
        <f t="shared" ref="K8:K35" si="3">I8-J8</f>
        <v>4013.317495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11">
        <v>2.0</v>
      </c>
      <c r="B9" s="13" t="s">
        <v>33</v>
      </c>
      <c r="C9" s="13" t="s">
        <v>17</v>
      </c>
      <c r="D9" s="13" t="s">
        <v>18</v>
      </c>
      <c r="E9" s="14">
        <v>45146.0</v>
      </c>
      <c r="F9" s="15">
        <v>6188.675931680344</v>
      </c>
      <c r="G9" s="15">
        <v>50.0</v>
      </c>
      <c r="H9" s="16">
        <f t="shared" si="1"/>
        <v>51.36601023</v>
      </c>
      <c r="I9" s="16">
        <f t="shared" si="2"/>
        <v>6290.041942</v>
      </c>
      <c r="J9" s="13"/>
      <c r="K9" s="16">
        <f t="shared" si="3"/>
        <v>6290.041942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11">
        <v>3.0</v>
      </c>
      <c r="B10" s="13" t="s">
        <v>34</v>
      </c>
      <c r="C10" s="13" t="s">
        <v>17</v>
      </c>
      <c r="D10" s="13" t="s">
        <v>18</v>
      </c>
      <c r="E10" s="14">
        <v>45114.0</v>
      </c>
      <c r="F10" s="15">
        <v>5960.0248480859045</v>
      </c>
      <c r="G10" s="15"/>
      <c r="H10" s="16">
        <f t="shared" si="1"/>
        <v>49.46820624</v>
      </c>
      <c r="I10" s="16">
        <f t="shared" si="2"/>
        <v>6009.493054</v>
      </c>
      <c r="J10" s="13"/>
      <c r="K10" s="16">
        <f t="shared" si="3"/>
        <v>6009.493054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11">
        <v>4.0</v>
      </c>
      <c r="B11" s="13" t="s">
        <v>35</v>
      </c>
      <c r="C11" s="13" t="s">
        <v>22</v>
      </c>
      <c r="D11" s="13" t="s">
        <v>18</v>
      </c>
      <c r="E11" s="14">
        <v>45149.0</v>
      </c>
      <c r="F11" s="15">
        <v>5492.999994962347</v>
      </c>
      <c r="G11" s="15">
        <v>2.0</v>
      </c>
      <c r="H11" s="16">
        <f t="shared" si="1"/>
        <v>45.59189996</v>
      </c>
      <c r="I11" s="16">
        <f t="shared" si="2"/>
        <v>5540.591895</v>
      </c>
      <c r="J11" s="13"/>
      <c r="K11" s="16">
        <f t="shared" si="3"/>
        <v>5540.591895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11">
        <v>5.0</v>
      </c>
      <c r="B12" s="13" t="s">
        <v>36</v>
      </c>
      <c r="C12" s="13" t="s">
        <v>17</v>
      </c>
      <c r="D12" s="13" t="s">
        <v>18</v>
      </c>
      <c r="E12" s="14">
        <v>45087.0</v>
      </c>
      <c r="F12" s="15">
        <v>347.2936484264985</v>
      </c>
      <c r="G12" s="15"/>
      <c r="H12" s="16">
        <f t="shared" si="1"/>
        <v>2.882537282</v>
      </c>
      <c r="I12" s="16">
        <f t="shared" si="2"/>
        <v>350.1761857</v>
      </c>
      <c r="J12" s="13"/>
      <c r="K12" s="16">
        <f t="shared" si="3"/>
        <v>350.1761857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11">
        <v>6.0</v>
      </c>
      <c r="B13" s="13" t="s">
        <v>47</v>
      </c>
      <c r="C13" s="13" t="s">
        <v>17</v>
      </c>
      <c r="D13" s="13" t="s">
        <v>18</v>
      </c>
      <c r="E13" s="14">
        <v>45114.0</v>
      </c>
      <c r="F13" s="15">
        <v>2325.6806020538925</v>
      </c>
      <c r="G13" s="15"/>
      <c r="H13" s="16">
        <f t="shared" si="1"/>
        <v>19.303149</v>
      </c>
      <c r="I13" s="16">
        <f t="shared" si="2"/>
        <v>2344.983751</v>
      </c>
      <c r="J13" s="13"/>
      <c r="K13" s="16">
        <f t="shared" si="3"/>
        <v>2344.983751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11">
        <v>7.0</v>
      </c>
      <c r="B14" s="13" t="s">
        <v>38</v>
      </c>
      <c r="C14" s="13" t="s">
        <v>17</v>
      </c>
      <c r="D14" s="13" t="s">
        <v>18</v>
      </c>
      <c r="E14" s="14">
        <v>45148.0</v>
      </c>
      <c r="F14" s="15">
        <v>5930.683825798993</v>
      </c>
      <c r="G14" s="15">
        <v>30.68</v>
      </c>
      <c r="H14" s="16">
        <f t="shared" si="1"/>
        <v>49.22467575</v>
      </c>
      <c r="I14" s="16">
        <f t="shared" si="2"/>
        <v>6010.588502</v>
      </c>
      <c r="J14" s="13"/>
      <c r="K14" s="16">
        <f t="shared" si="3"/>
        <v>6010.588502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11">
        <v>8.0</v>
      </c>
      <c r="B15" s="13" t="s">
        <v>48</v>
      </c>
      <c r="C15" s="13" t="s">
        <v>17</v>
      </c>
      <c r="D15" s="13" t="s">
        <v>18</v>
      </c>
      <c r="E15" s="14">
        <v>45146.0</v>
      </c>
      <c r="F15" s="15">
        <v>5371.655093635141</v>
      </c>
      <c r="G15" s="15">
        <v>100.0</v>
      </c>
      <c r="H15" s="16">
        <f t="shared" si="1"/>
        <v>44.58473728</v>
      </c>
      <c r="I15" s="16">
        <f t="shared" si="2"/>
        <v>5516.239831</v>
      </c>
      <c r="J15" s="13"/>
      <c r="K15" s="16">
        <f t="shared" si="3"/>
        <v>5516.239831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11">
        <v>9.0</v>
      </c>
      <c r="B16" s="13" t="s">
        <v>49</v>
      </c>
      <c r="C16" s="13" t="s">
        <v>17</v>
      </c>
      <c r="D16" s="13" t="s">
        <v>30</v>
      </c>
      <c r="E16" s="14">
        <v>45147.0</v>
      </c>
      <c r="F16" s="15">
        <v>30.629432026596913</v>
      </c>
      <c r="G16" s="15">
        <v>5.0</v>
      </c>
      <c r="H16" s="16">
        <f t="shared" si="1"/>
        <v>0.2542242858</v>
      </c>
      <c r="I16" s="16">
        <f t="shared" si="2"/>
        <v>35.88365631</v>
      </c>
      <c r="J16" s="13"/>
      <c r="K16" s="16">
        <f t="shared" si="3"/>
        <v>35.88365631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11">
        <v>10.0</v>
      </c>
      <c r="B17" s="13" t="s">
        <v>58</v>
      </c>
      <c r="C17" s="13" t="s">
        <v>17</v>
      </c>
      <c r="D17" s="13" t="s">
        <v>30</v>
      </c>
      <c r="E17" s="14">
        <v>45086.0</v>
      </c>
      <c r="F17" s="15">
        <v>82.01558327064767</v>
      </c>
      <c r="G17" s="15">
        <v>20.0</v>
      </c>
      <c r="H17" s="16">
        <f t="shared" si="1"/>
        <v>0.6807293411</v>
      </c>
      <c r="I17" s="16">
        <f t="shared" si="2"/>
        <v>102.6963126</v>
      </c>
      <c r="J17" s="13"/>
      <c r="K17" s="16">
        <f t="shared" si="3"/>
        <v>102.6963126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11">
        <v>11.0</v>
      </c>
      <c r="B18" s="13" t="s">
        <v>51</v>
      </c>
      <c r="C18" s="13"/>
      <c r="D18" s="13" t="s">
        <v>30</v>
      </c>
      <c r="E18" s="14">
        <v>45147.0</v>
      </c>
      <c r="F18" s="15">
        <v>40.84110273532383</v>
      </c>
      <c r="G18" s="15">
        <v>10.0</v>
      </c>
      <c r="H18" s="16">
        <f t="shared" si="1"/>
        <v>0.3389811527</v>
      </c>
      <c r="I18" s="16">
        <f t="shared" si="2"/>
        <v>51.18008389</v>
      </c>
      <c r="J18" s="13"/>
      <c r="K18" s="16">
        <f t="shared" si="3"/>
        <v>51.18008389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11">
        <v>12.0</v>
      </c>
      <c r="B19" s="13" t="s">
        <v>52</v>
      </c>
      <c r="C19" s="13"/>
      <c r="D19" s="13" t="s">
        <v>30</v>
      </c>
      <c r="E19" s="14">
        <v>45029.0</v>
      </c>
      <c r="F19" s="15">
        <v>77.73741312660255</v>
      </c>
      <c r="G19" s="15"/>
      <c r="H19" s="16">
        <f t="shared" si="1"/>
        <v>0.645220529</v>
      </c>
      <c r="I19" s="16">
        <f t="shared" si="2"/>
        <v>78.38263366</v>
      </c>
      <c r="J19" s="13"/>
      <c r="K19" s="16">
        <f t="shared" si="3"/>
        <v>78.38263366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4.75" customHeight="1">
      <c r="A20" s="11">
        <v>13.0</v>
      </c>
      <c r="B20" s="13" t="s">
        <v>72</v>
      </c>
      <c r="C20" s="13"/>
      <c r="D20" s="13" t="s">
        <v>30</v>
      </c>
      <c r="E20" s="14">
        <v>45148.0</v>
      </c>
      <c r="F20" s="15">
        <v>61.009892832771015</v>
      </c>
      <c r="G20" s="15">
        <v>20.0</v>
      </c>
      <c r="H20" s="16">
        <f t="shared" si="1"/>
        <v>0.5063821105</v>
      </c>
      <c r="I20" s="16">
        <f t="shared" si="2"/>
        <v>81.51627494</v>
      </c>
      <c r="J20" s="13"/>
      <c r="K20" s="16">
        <f t="shared" si="3"/>
        <v>81.51627494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11">
        <v>14.0</v>
      </c>
      <c r="B21" s="12" t="s">
        <v>54</v>
      </c>
      <c r="C21" s="12" t="s">
        <v>17</v>
      </c>
      <c r="D21" s="12" t="s">
        <v>30</v>
      </c>
      <c r="E21" s="22">
        <v>45079.0</v>
      </c>
      <c r="F21" s="15">
        <v>512.5886405319384</v>
      </c>
      <c r="G21" s="15"/>
      <c r="H21" s="15">
        <f t="shared" si="1"/>
        <v>4.254485716</v>
      </c>
      <c r="I21" s="15">
        <f t="shared" si="2"/>
        <v>516.8431262</v>
      </c>
      <c r="J21" s="12"/>
      <c r="K21" s="15">
        <f t="shared" si="3"/>
        <v>516.8431262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11">
        <v>15.0</v>
      </c>
      <c r="B22" s="13" t="s">
        <v>55</v>
      </c>
      <c r="C22" s="13"/>
      <c r="D22" s="13" t="s">
        <v>30</v>
      </c>
      <c r="E22" s="14">
        <v>45056.0</v>
      </c>
      <c r="F22" s="15">
        <v>51.34185256999551</v>
      </c>
      <c r="G22" s="15"/>
      <c r="H22" s="16">
        <f t="shared" si="1"/>
        <v>0.4261373763</v>
      </c>
      <c r="I22" s="16">
        <f t="shared" si="2"/>
        <v>51.76798995</v>
      </c>
      <c r="J22" s="13"/>
      <c r="K22" s="16">
        <f t="shared" si="3"/>
        <v>51.76798995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24">
        <v>16.0</v>
      </c>
      <c r="B23" s="25" t="s">
        <v>56</v>
      </c>
      <c r="C23" s="25"/>
      <c r="D23" s="25" t="s">
        <v>30</v>
      </c>
      <c r="E23" s="26">
        <v>45104.0</v>
      </c>
      <c r="F23" s="27">
        <v>122.51772810638765</v>
      </c>
      <c r="G23" s="27"/>
      <c r="H23" s="27">
        <f t="shared" si="1"/>
        <v>1.016897143</v>
      </c>
      <c r="I23" s="27">
        <f t="shared" si="2"/>
        <v>123.5346252</v>
      </c>
      <c r="J23" s="25"/>
      <c r="K23" s="27">
        <f t="shared" si="3"/>
        <v>123.5346252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11">
        <v>17.0</v>
      </c>
      <c r="B24" s="13" t="s">
        <v>40</v>
      </c>
      <c r="C24" s="13" t="s">
        <v>17</v>
      </c>
      <c r="D24" s="13" t="s">
        <v>30</v>
      </c>
      <c r="E24" s="14">
        <v>45143.0</v>
      </c>
      <c r="F24" s="15">
        <v>363.9810670281967</v>
      </c>
      <c r="G24" s="16">
        <v>25.0</v>
      </c>
      <c r="H24" s="16">
        <f t="shared" si="1"/>
        <v>3.021042856</v>
      </c>
      <c r="I24" s="16">
        <f t="shared" si="2"/>
        <v>392.0021099</v>
      </c>
      <c r="J24" s="13"/>
      <c r="K24" s="16">
        <f t="shared" si="3"/>
        <v>392.0021099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11">
        <v>18.0</v>
      </c>
      <c r="B25" s="12" t="s">
        <v>41</v>
      </c>
      <c r="C25" s="12" t="s">
        <v>17</v>
      </c>
      <c r="D25" s="12" t="s">
        <v>30</v>
      </c>
      <c r="E25" s="22">
        <v>45147.0</v>
      </c>
      <c r="F25" s="15">
        <v>56.26201592114458</v>
      </c>
      <c r="G25" s="23">
        <v>10.0</v>
      </c>
      <c r="H25" s="15">
        <f t="shared" si="1"/>
        <v>0.4669747321</v>
      </c>
      <c r="I25" s="15">
        <f t="shared" si="2"/>
        <v>66.72899065</v>
      </c>
      <c r="J25" s="12"/>
      <c r="K25" s="15">
        <f t="shared" si="3"/>
        <v>66.72899065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11">
        <v>19.0</v>
      </c>
      <c r="B26" s="13" t="s">
        <v>42</v>
      </c>
      <c r="C26" s="13" t="s">
        <v>22</v>
      </c>
      <c r="D26" s="13" t="s">
        <v>30</v>
      </c>
      <c r="E26" s="14">
        <v>45147.0</v>
      </c>
      <c r="F26" s="15">
        <v>143.53462524967068</v>
      </c>
      <c r="G26" s="20">
        <v>20.0</v>
      </c>
      <c r="H26" s="16">
        <f t="shared" si="1"/>
        <v>1.19133739</v>
      </c>
      <c r="I26" s="16">
        <f t="shared" si="2"/>
        <v>164.7259626</v>
      </c>
      <c r="J26" s="13"/>
      <c r="K26" s="16">
        <f t="shared" si="3"/>
        <v>164.7259626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11">
        <v>20.0</v>
      </c>
      <c r="B27" s="13" t="s">
        <v>43</v>
      </c>
      <c r="C27" s="13"/>
      <c r="D27" s="13" t="s">
        <v>30</v>
      </c>
      <c r="E27" s="14">
        <v>45088.0</v>
      </c>
      <c r="F27" s="15">
        <v>51.090091252125504</v>
      </c>
      <c r="G27" s="20"/>
      <c r="H27" s="16">
        <f t="shared" si="1"/>
        <v>0.4240477574</v>
      </c>
      <c r="I27" s="16">
        <f t="shared" si="2"/>
        <v>51.51413901</v>
      </c>
      <c r="J27" s="13"/>
      <c r="K27" s="16">
        <f t="shared" si="3"/>
        <v>51.51413901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11">
        <v>21.0</v>
      </c>
      <c r="B28" s="13" t="s">
        <v>59</v>
      </c>
      <c r="C28" s="13" t="s">
        <v>22</v>
      </c>
      <c r="D28" s="13" t="s">
        <v>30</v>
      </c>
      <c r="E28" s="14">
        <v>44993.0</v>
      </c>
      <c r="F28" s="15">
        <v>5.168078159469161</v>
      </c>
      <c r="G28" s="20"/>
      <c r="H28" s="16">
        <f t="shared" si="1"/>
        <v>0.04289504872</v>
      </c>
      <c r="I28" s="16">
        <f t="shared" si="2"/>
        <v>5.210973208</v>
      </c>
      <c r="J28" s="13"/>
      <c r="K28" s="16">
        <f t="shared" si="3"/>
        <v>5.210973208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11">
        <v>22.0</v>
      </c>
      <c r="B29" s="12" t="s">
        <v>44</v>
      </c>
      <c r="C29" s="12" t="s">
        <v>22</v>
      </c>
      <c r="D29" s="12" t="s">
        <v>30</v>
      </c>
      <c r="E29" s="22">
        <v>45140.0</v>
      </c>
      <c r="F29" s="15">
        <v>92.02</v>
      </c>
      <c r="G29" s="23">
        <v>15.0</v>
      </c>
      <c r="H29" s="15">
        <f t="shared" si="1"/>
        <v>0.763766</v>
      </c>
      <c r="I29" s="15">
        <f t="shared" si="2"/>
        <v>107.783766</v>
      </c>
      <c r="J29" s="12"/>
      <c r="K29" s="15">
        <f t="shared" si="3"/>
        <v>107.783766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11">
        <v>23.0</v>
      </c>
      <c r="B30" s="13" t="s">
        <v>61</v>
      </c>
      <c r="C30" s="13"/>
      <c r="D30" s="13" t="s">
        <v>30</v>
      </c>
      <c r="E30" s="14">
        <v>45059.0</v>
      </c>
      <c r="F30" s="15">
        <v>76.67208433935001</v>
      </c>
      <c r="G30" s="20"/>
      <c r="H30" s="16">
        <f t="shared" si="1"/>
        <v>0.6363783</v>
      </c>
      <c r="I30" s="16">
        <f t="shared" si="2"/>
        <v>77.30846264</v>
      </c>
      <c r="J30" s="13"/>
      <c r="K30" s="16">
        <f t="shared" si="3"/>
        <v>77.30846264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11">
        <v>24.0</v>
      </c>
      <c r="B31" s="13" t="s">
        <v>63</v>
      </c>
      <c r="C31" s="13"/>
      <c r="D31" s="13" t="s">
        <v>30</v>
      </c>
      <c r="E31" s="14">
        <v>45146.0</v>
      </c>
      <c r="F31" s="15">
        <v>101.2484445</v>
      </c>
      <c r="G31" s="20">
        <v>100.0</v>
      </c>
      <c r="H31" s="16">
        <f t="shared" si="1"/>
        <v>0.8403620894</v>
      </c>
      <c r="I31" s="16">
        <f t="shared" si="2"/>
        <v>202.0888066</v>
      </c>
      <c r="J31" s="13"/>
      <c r="K31" s="16">
        <f t="shared" si="3"/>
        <v>202.0888066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11">
        <v>25.0</v>
      </c>
      <c r="B32" s="13" t="s">
        <v>64</v>
      </c>
      <c r="C32" s="13"/>
      <c r="D32" s="13" t="s">
        <v>30</v>
      </c>
      <c r="E32" s="14">
        <v>45118.0</v>
      </c>
      <c r="F32" s="15">
        <v>211.749889</v>
      </c>
      <c r="G32" s="20"/>
      <c r="H32" s="16">
        <f t="shared" si="1"/>
        <v>1.757524079</v>
      </c>
      <c r="I32" s="16">
        <f t="shared" si="2"/>
        <v>213.5074131</v>
      </c>
      <c r="J32" s="13"/>
      <c r="K32" s="16">
        <f t="shared" si="3"/>
        <v>213.5074131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11">
        <v>26.0</v>
      </c>
      <c r="B33" s="13" t="s">
        <v>65</v>
      </c>
      <c r="C33" s="13"/>
      <c r="D33" s="13" t="s">
        <v>30</v>
      </c>
      <c r="E33" s="14">
        <v>45059.0</v>
      </c>
      <c r="F33" s="15">
        <v>20.3333778</v>
      </c>
      <c r="G33" s="20"/>
      <c r="H33" s="16">
        <f t="shared" si="1"/>
        <v>0.1687670357</v>
      </c>
      <c r="I33" s="16">
        <f t="shared" si="2"/>
        <v>20.50214484</v>
      </c>
      <c r="J33" s="13"/>
      <c r="K33" s="16">
        <f t="shared" si="3"/>
        <v>20.50214484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11">
        <v>27.0</v>
      </c>
      <c r="B34" s="13" t="s">
        <v>69</v>
      </c>
      <c r="C34" s="13"/>
      <c r="D34" s="13" t="s">
        <v>30</v>
      </c>
      <c r="E34" s="14">
        <v>45060.0</v>
      </c>
      <c r="F34" s="15">
        <v>30.500066699999998</v>
      </c>
      <c r="G34" s="20"/>
      <c r="H34" s="16">
        <f t="shared" si="1"/>
        <v>0.2531505536</v>
      </c>
      <c r="I34" s="16">
        <f t="shared" si="2"/>
        <v>30.75321725</v>
      </c>
      <c r="J34" s="13"/>
      <c r="K34" s="16">
        <f t="shared" si="3"/>
        <v>30.75321725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11">
        <v>28.0</v>
      </c>
      <c r="B35" s="13" t="s">
        <v>70</v>
      </c>
      <c r="C35" s="13" t="s">
        <v>17</v>
      </c>
      <c r="D35" s="13" t="s">
        <v>30</v>
      </c>
      <c r="E35" s="14">
        <v>45085.0</v>
      </c>
      <c r="F35" s="15">
        <v>201.66</v>
      </c>
      <c r="G35" s="20"/>
      <c r="H35" s="16"/>
      <c r="I35" s="16">
        <f t="shared" si="2"/>
        <v>201.66</v>
      </c>
      <c r="J35" s="13"/>
      <c r="K35" s="16">
        <f t="shared" si="3"/>
        <v>201.66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1"/>
      <c r="B36" s="13"/>
      <c r="C36" s="13"/>
      <c r="D36" s="13"/>
      <c r="E36" s="13"/>
      <c r="F36" s="13"/>
      <c r="G36" s="13"/>
      <c r="H36" s="16"/>
      <c r="I36" s="16"/>
      <c r="J36" s="13"/>
      <c r="K36" s="1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7"/>
      <c r="B37" s="13"/>
      <c r="C37" s="13"/>
      <c r="D37" s="13"/>
      <c r="E37" s="13"/>
      <c r="F37" s="18">
        <f t="shared" ref="F37:K37" si="4">SUM(F8:F35)</f>
        <v>37920.33831</v>
      </c>
      <c r="G37" s="18">
        <f t="shared" si="4"/>
        <v>417.62</v>
      </c>
      <c r="H37" s="18">
        <f t="shared" si="4"/>
        <v>313.06503</v>
      </c>
      <c r="I37" s="18">
        <f t="shared" si="4"/>
        <v>38651.02334</v>
      </c>
      <c r="J37" s="18">
        <f t="shared" si="4"/>
        <v>0</v>
      </c>
      <c r="K37" s="18">
        <f t="shared" si="4"/>
        <v>38651.02334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2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3:K3"/>
    <mergeCell ref="A4:K4"/>
    <mergeCell ref="A5:K5"/>
    <mergeCell ref="A6:K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6.86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9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29" t="s">
        <v>78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4.75" customHeight="1">
      <c r="A7" s="11">
        <v>1.0</v>
      </c>
      <c r="B7" s="30" t="s">
        <v>46</v>
      </c>
      <c r="C7" s="30" t="s">
        <v>91</v>
      </c>
      <c r="D7" s="30" t="s">
        <v>92</v>
      </c>
      <c r="E7" s="31">
        <v>45149.0</v>
      </c>
      <c r="F7" s="31"/>
      <c r="G7" s="32">
        <v>4013.3174951934516</v>
      </c>
      <c r="H7" s="32">
        <v>10.67</v>
      </c>
      <c r="I7" s="33">
        <f t="shared" ref="I7:I34" si="1">G7*0.83%</f>
        <v>33.31053521</v>
      </c>
      <c r="J7" s="33">
        <f t="shared" ref="J7:J37" si="2">G7+H7+I7</f>
        <v>4057.29803</v>
      </c>
      <c r="K7" s="30"/>
      <c r="L7" s="33">
        <f t="shared" ref="L7:L37" si="3">J7-K7</f>
        <v>4057.29803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4.75" customHeight="1">
      <c r="A8" s="11">
        <v>2.0</v>
      </c>
      <c r="B8" s="30" t="s">
        <v>33</v>
      </c>
      <c r="C8" s="30" t="s">
        <v>91</v>
      </c>
      <c r="D8" s="30" t="s">
        <v>92</v>
      </c>
      <c r="E8" s="31">
        <v>45173.0</v>
      </c>
      <c r="F8" s="31"/>
      <c r="G8" s="32">
        <v>6290.04194191329</v>
      </c>
      <c r="H8" s="32">
        <v>50.0</v>
      </c>
      <c r="I8" s="33">
        <f t="shared" si="1"/>
        <v>52.20734812</v>
      </c>
      <c r="J8" s="33">
        <f t="shared" si="2"/>
        <v>6392.24929</v>
      </c>
      <c r="K8" s="30"/>
      <c r="L8" s="33">
        <f t="shared" si="3"/>
        <v>6392.24929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4.75" customHeight="1">
      <c r="A9" s="11">
        <v>3.0</v>
      </c>
      <c r="B9" s="30" t="s">
        <v>34</v>
      </c>
      <c r="C9" s="30" t="s">
        <v>91</v>
      </c>
      <c r="D9" s="30" t="s">
        <v>92</v>
      </c>
      <c r="E9" s="31">
        <v>45171.0</v>
      </c>
      <c r="F9" s="31"/>
      <c r="G9" s="32">
        <v>6009.4930543250175</v>
      </c>
      <c r="H9" s="32">
        <v>100.0</v>
      </c>
      <c r="I9" s="33">
        <f t="shared" si="1"/>
        <v>49.87879235</v>
      </c>
      <c r="J9" s="33">
        <f t="shared" si="2"/>
        <v>6159.371847</v>
      </c>
      <c r="K9" s="30"/>
      <c r="L9" s="33">
        <f t="shared" si="3"/>
        <v>6159.371847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4.75" customHeight="1">
      <c r="A10" s="11">
        <v>4.0</v>
      </c>
      <c r="B10" s="30" t="s">
        <v>35</v>
      </c>
      <c r="C10" s="30" t="s">
        <v>93</v>
      </c>
      <c r="D10" s="30" t="s">
        <v>92</v>
      </c>
      <c r="E10" s="31">
        <v>45171.0</v>
      </c>
      <c r="F10" s="31"/>
      <c r="G10" s="32">
        <v>5540.591894920534</v>
      </c>
      <c r="H10" s="32">
        <v>37.94</v>
      </c>
      <c r="I10" s="33">
        <f t="shared" si="1"/>
        <v>45.98691273</v>
      </c>
      <c r="J10" s="33">
        <f t="shared" si="2"/>
        <v>5624.518808</v>
      </c>
      <c r="K10" s="30"/>
      <c r="L10" s="33">
        <f t="shared" si="3"/>
        <v>5624.518808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4.75" customHeight="1">
      <c r="A11" s="11">
        <v>5.0</v>
      </c>
      <c r="B11" s="30" t="s">
        <v>36</v>
      </c>
      <c r="C11" s="30" t="s">
        <v>91</v>
      </c>
      <c r="D11" s="30" t="s">
        <v>92</v>
      </c>
      <c r="E11" s="31">
        <v>45087.0</v>
      </c>
      <c r="F11" s="31"/>
      <c r="G11" s="32">
        <v>350.1761857084385</v>
      </c>
      <c r="H11" s="32"/>
      <c r="I11" s="33">
        <f t="shared" si="1"/>
        <v>2.906462341</v>
      </c>
      <c r="J11" s="33">
        <f t="shared" si="2"/>
        <v>353.082648</v>
      </c>
      <c r="K11" s="30"/>
      <c r="L11" s="33">
        <f t="shared" si="3"/>
        <v>353.082648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4.75" customHeight="1">
      <c r="A12" s="11">
        <v>6.0</v>
      </c>
      <c r="B12" s="30" t="s">
        <v>47</v>
      </c>
      <c r="C12" s="30" t="s">
        <v>91</v>
      </c>
      <c r="D12" s="30" t="s">
        <v>92</v>
      </c>
      <c r="E12" s="31">
        <v>45181.0</v>
      </c>
      <c r="F12" s="31"/>
      <c r="G12" s="32">
        <v>2344.9837510509396</v>
      </c>
      <c r="H12" s="32">
        <v>5.75</v>
      </c>
      <c r="I12" s="33">
        <f t="shared" si="1"/>
        <v>19.46336513</v>
      </c>
      <c r="J12" s="33">
        <f t="shared" si="2"/>
        <v>2370.197116</v>
      </c>
      <c r="K12" s="30"/>
      <c r="L12" s="33">
        <f t="shared" si="3"/>
        <v>2370.197116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4.75" customHeight="1">
      <c r="A13" s="11">
        <v>7.0</v>
      </c>
      <c r="B13" s="30" t="s">
        <v>38</v>
      </c>
      <c r="C13" s="30" t="s">
        <v>91</v>
      </c>
      <c r="D13" s="30" t="s">
        <v>92</v>
      </c>
      <c r="E13" s="31">
        <v>45179.0</v>
      </c>
      <c r="F13" s="31"/>
      <c r="G13" s="32">
        <v>6010.588501553125</v>
      </c>
      <c r="H13" s="32">
        <v>34.0</v>
      </c>
      <c r="I13" s="33">
        <f t="shared" si="1"/>
        <v>49.88788456</v>
      </c>
      <c r="J13" s="33">
        <f t="shared" si="2"/>
        <v>6094.476386</v>
      </c>
      <c r="K13" s="30"/>
      <c r="L13" s="33">
        <f t="shared" si="3"/>
        <v>6094.476386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4.75" customHeight="1">
      <c r="A14" s="11">
        <v>8.0</v>
      </c>
      <c r="B14" s="30" t="s">
        <v>48</v>
      </c>
      <c r="C14" s="30" t="s">
        <v>91</v>
      </c>
      <c r="D14" s="30" t="s">
        <v>92</v>
      </c>
      <c r="E14" s="31">
        <v>45171.0</v>
      </c>
      <c r="F14" s="31"/>
      <c r="G14" s="32">
        <v>5516.239830912313</v>
      </c>
      <c r="H14" s="32">
        <v>50.0</v>
      </c>
      <c r="I14" s="33">
        <f t="shared" si="1"/>
        <v>45.7847906</v>
      </c>
      <c r="J14" s="33">
        <f t="shared" si="2"/>
        <v>5612.024622</v>
      </c>
      <c r="K14" s="30"/>
      <c r="L14" s="33">
        <f t="shared" si="3"/>
        <v>5612.024622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4.75" customHeight="1">
      <c r="A15" s="11">
        <v>9.0</v>
      </c>
      <c r="B15" s="30" t="s">
        <v>49</v>
      </c>
      <c r="C15" s="30" t="s">
        <v>91</v>
      </c>
      <c r="D15" s="30" t="s">
        <v>94</v>
      </c>
      <c r="E15" s="31">
        <v>45173.0</v>
      </c>
      <c r="F15" s="31" t="s">
        <v>38</v>
      </c>
      <c r="G15" s="32">
        <v>35.88365631241767</v>
      </c>
      <c r="H15" s="32">
        <v>5.0</v>
      </c>
      <c r="I15" s="33">
        <f t="shared" si="1"/>
        <v>0.2978343474</v>
      </c>
      <c r="J15" s="33">
        <f t="shared" si="2"/>
        <v>41.18149066</v>
      </c>
      <c r="K15" s="30"/>
      <c r="L15" s="33">
        <f t="shared" si="3"/>
        <v>41.18149066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4.75" customHeight="1">
      <c r="A16" s="11">
        <v>10.0</v>
      </c>
      <c r="B16" s="30" t="s">
        <v>58</v>
      </c>
      <c r="C16" s="30" t="s">
        <v>93</v>
      </c>
      <c r="D16" s="30" t="s">
        <v>94</v>
      </c>
      <c r="E16" s="31">
        <v>45171.0</v>
      </c>
      <c r="F16" s="31" t="s">
        <v>39</v>
      </c>
      <c r="G16" s="32">
        <v>102.69631261179404</v>
      </c>
      <c r="H16" s="32">
        <v>20.0</v>
      </c>
      <c r="I16" s="33">
        <f t="shared" si="1"/>
        <v>0.8523793947</v>
      </c>
      <c r="J16" s="33">
        <f t="shared" si="2"/>
        <v>123.548692</v>
      </c>
      <c r="K16" s="30"/>
      <c r="L16" s="33">
        <f t="shared" si="3"/>
        <v>123.548692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4.75" customHeight="1">
      <c r="A17" s="11">
        <v>11.0</v>
      </c>
      <c r="B17" s="30" t="s">
        <v>51</v>
      </c>
      <c r="C17" s="30" t="s">
        <v>91</v>
      </c>
      <c r="D17" s="30" t="s">
        <v>94</v>
      </c>
      <c r="E17" s="31">
        <v>45147.0</v>
      </c>
      <c r="F17" s="31" t="s">
        <v>34</v>
      </c>
      <c r="G17" s="32">
        <v>51.18008388802702</v>
      </c>
      <c r="H17" s="32"/>
      <c r="I17" s="33">
        <f t="shared" si="1"/>
        <v>0.4247946963</v>
      </c>
      <c r="J17" s="33">
        <f t="shared" si="2"/>
        <v>51.60487858</v>
      </c>
      <c r="K17" s="30"/>
      <c r="L17" s="33">
        <f t="shared" si="3"/>
        <v>51.60487858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4.75" customHeight="1">
      <c r="A18" s="1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32">
        <v>78.38263365555335</v>
      </c>
      <c r="H18" s="32"/>
      <c r="I18" s="33">
        <f t="shared" si="1"/>
        <v>0.6505758593</v>
      </c>
      <c r="J18" s="33">
        <f t="shared" si="2"/>
        <v>79.03320951</v>
      </c>
      <c r="K18" s="30"/>
      <c r="L18" s="33">
        <f t="shared" si="3"/>
        <v>79.03320951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4.75" customHeight="1">
      <c r="A19" s="11">
        <v>13.0</v>
      </c>
      <c r="B19" s="30" t="s">
        <v>72</v>
      </c>
      <c r="C19" s="30" t="s">
        <v>91</v>
      </c>
      <c r="D19" s="30" t="s">
        <v>94</v>
      </c>
      <c r="E19" s="31">
        <v>36770.0</v>
      </c>
      <c r="F19" s="31" t="s">
        <v>38</v>
      </c>
      <c r="G19" s="32">
        <v>81.51627494328301</v>
      </c>
      <c r="H19" s="32">
        <v>20.0</v>
      </c>
      <c r="I19" s="33">
        <f t="shared" si="1"/>
        <v>0.676585082</v>
      </c>
      <c r="J19" s="33">
        <f t="shared" si="2"/>
        <v>102.19286</v>
      </c>
      <c r="K19" s="30"/>
      <c r="L19" s="33">
        <f t="shared" si="3"/>
        <v>102.19286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1">
        <v>14.0</v>
      </c>
      <c r="B20" s="34" t="s">
        <v>54</v>
      </c>
      <c r="C20" s="34" t="s">
        <v>91</v>
      </c>
      <c r="D20" s="30" t="s">
        <v>94</v>
      </c>
      <c r="E20" s="35">
        <v>45079.0</v>
      </c>
      <c r="F20" s="35" t="s">
        <v>34</v>
      </c>
      <c r="G20" s="32">
        <v>516.8431262483534</v>
      </c>
      <c r="H20" s="32"/>
      <c r="I20" s="32">
        <f t="shared" si="1"/>
        <v>4.289797948</v>
      </c>
      <c r="J20" s="32">
        <f t="shared" si="2"/>
        <v>521.1329242</v>
      </c>
      <c r="K20" s="34"/>
      <c r="L20" s="32">
        <f t="shared" si="3"/>
        <v>521.1329242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4.75" customHeight="1">
      <c r="A21" s="11">
        <v>15.0</v>
      </c>
      <c r="B21" s="30" t="s">
        <v>55</v>
      </c>
      <c r="C21" s="30" t="s">
        <v>91</v>
      </c>
      <c r="D21" s="30" t="s">
        <v>94</v>
      </c>
      <c r="E21" s="31">
        <v>45174.0</v>
      </c>
      <c r="F21" s="31" t="s">
        <v>33</v>
      </c>
      <c r="G21" s="32">
        <v>51.76798994632647</v>
      </c>
      <c r="H21" s="32">
        <v>15.0</v>
      </c>
      <c r="I21" s="33">
        <f t="shared" si="1"/>
        <v>0.4296743166</v>
      </c>
      <c r="J21" s="33">
        <f t="shared" si="2"/>
        <v>67.19766426</v>
      </c>
      <c r="K21" s="30"/>
      <c r="L21" s="33">
        <f t="shared" si="3"/>
        <v>67.19766426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4.75" customHeight="1">
      <c r="A22" s="24">
        <v>16.0</v>
      </c>
      <c r="B22" s="36" t="s">
        <v>56</v>
      </c>
      <c r="C22" s="36" t="s">
        <v>91</v>
      </c>
      <c r="D22" s="36" t="s">
        <v>94</v>
      </c>
      <c r="E22" s="37">
        <v>45170.0</v>
      </c>
      <c r="F22" s="37" t="s">
        <v>33</v>
      </c>
      <c r="G22" s="38">
        <v>123.53462524967067</v>
      </c>
      <c r="H22" s="38">
        <v>40.0</v>
      </c>
      <c r="I22" s="38">
        <f t="shared" si="1"/>
        <v>1.02533739</v>
      </c>
      <c r="J22" s="38">
        <f t="shared" si="2"/>
        <v>164.5599626</v>
      </c>
      <c r="K22" s="36"/>
      <c r="L22" s="38">
        <f t="shared" si="3"/>
        <v>164.5599626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4.75" customHeight="1">
      <c r="A23" s="11">
        <v>17.0</v>
      </c>
      <c r="B23" s="30" t="s">
        <v>40</v>
      </c>
      <c r="C23" s="30" t="s">
        <v>91</v>
      </c>
      <c r="D23" s="30" t="s">
        <v>94</v>
      </c>
      <c r="E23" s="31">
        <v>45171.0</v>
      </c>
      <c r="F23" s="31" t="s">
        <v>38</v>
      </c>
      <c r="G23" s="32">
        <v>392.00210988453074</v>
      </c>
      <c r="H23" s="33">
        <v>425.0</v>
      </c>
      <c r="I23" s="33">
        <f t="shared" si="1"/>
        <v>3.253617512</v>
      </c>
      <c r="J23" s="33">
        <f t="shared" si="2"/>
        <v>820.2557274</v>
      </c>
      <c r="K23" s="30"/>
      <c r="L23" s="33">
        <f t="shared" si="3"/>
        <v>820.2557274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24.75" customHeight="1">
      <c r="A24" s="11">
        <v>18.0</v>
      </c>
      <c r="B24" s="34" t="s">
        <v>41</v>
      </c>
      <c r="C24" s="34" t="s">
        <v>91</v>
      </c>
      <c r="D24" s="30" t="s">
        <v>94</v>
      </c>
      <c r="E24" s="35">
        <v>45173.0</v>
      </c>
      <c r="F24" s="35" t="s">
        <v>34</v>
      </c>
      <c r="G24" s="32">
        <v>66.72899065329008</v>
      </c>
      <c r="H24" s="39">
        <v>20.0</v>
      </c>
      <c r="I24" s="32">
        <f t="shared" si="1"/>
        <v>0.5538506224</v>
      </c>
      <c r="J24" s="32">
        <f t="shared" si="2"/>
        <v>87.28284128</v>
      </c>
      <c r="K24" s="34"/>
      <c r="L24" s="32">
        <f t="shared" si="3"/>
        <v>87.28284128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4.75" customHeight="1">
      <c r="A25" s="11">
        <v>19.0</v>
      </c>
      <c r="B25" s="30" t="s">
        <v>95</v>
      </c>
      <c r="C25" s="30" t="s">
        <v>93</v>
      </c>
      <c r="D25" s="30" t="s">
        <v>94</v>
      </c>
      <c r="E25" s="31">
        <v>45171.0</v>
      </c>
      <c r="F25" s="31" t="s">
        <v>39</v>
      </c>
      <c r="G25" s="32">
        <v>164.72596263924294</v>
      </c>
      <c r="H25" s="40">
        <v>30.0</v>
      </c>
      <c r="I25" s="33">
        <f t="shared" si="1"/>
        <v>1.36722549</v>
      </c>
      <c r="J25" s="33">
        <f t="shared" si="2"/>
        <v>196.0931881</v>
      </c>
      <c r="K25" s="30"/>
      <c r="L25" s="33">
        <f t="shared" si="3"/>
        <v>196.0931881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4.75" customHeight="1">
      <c r="A26" s="11">
        <v>20.0</v>
      </c>
      <c r="B26" s="30" t="s">
        <v>96</v>
      </c>
      <c r="C26" s="30" t="s">
        <v>91</v>
      </c>
      <c r="D26" s="30" t="s">
        <v>94</v>
      </c>
      <c r="E26" s="31">
        <v>45171.0</v>
      </c>
      <c r="F26" s="31" t="s">
        <v>33</v>
      </c>
      <c r="G26" s="32">
        <v>51.514139009518146</v>
      </c>
      <c r="H26" s="40">
        <v>20.0</v>
      </c>
      <c r="I26" s="33">
        <f t="shared" si="1"/>
        <v>0.4275673538</v>
      </c>
      <c r="J26" s="33">
        <f t="shared" si="2"/>
        <v>71.94170636</v>
      </c>
      <c r="K26" s="30"/>
      <c r="L26" s="33">
        <f t="shared" si="3"/>
        <v>71.94170636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4.75" customHeight="1">
      <c r="A27" s="11">
        <v>21.0</v>
      </c>
      <c r="B27" s="30" t="s">
        <v>97</v>
      </c>
      <c r="C27" s="30" t="s">
        <v>93</v>
      </c>
      <c r="D27" s="30" t="s">
        <v>94</v>
      </c>
      <c r="E27" s="31">
        <v>45175.0</v>
      </c>
      <c r="F27" s="31" t="s">
        <v>34</v>
      </c>
      <c r="G27" s="32">
        <v>5.210973208192755</v>
      </c>
      <c r="H27" s="40">
        <v>30.0</v>
      </c>
      <c r="I27" s="33">
        <f t="shared" si="1"/>
        <v>0.04325107763</v>
      </c>
      <c r="J27" s="33">
        <f t="shared" si="2"/>
        <v>35.25422429</v>
      </c>
      <c r="K27" s="30"/>
      <c r="L27" s="33">
        <f t="shared" si="3"/>
        <v>35.25422429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4.75" customHeight="1">
      <c r="A28" s="11">
        <v>22.0</v>
      </c>
      <c r="B28" s="34" t="s">
        <v>98</v>
      </c>
      <c r="C28" s="34" t="s">
        <v>93</v>
      </c>
      <c r="D28" s="30" t="s">
        <v>94</v>
      </c>
      <c r="E28" s="35">
        <v>45140.0</v>
      </c>
      <c r="F28" s="35" t="s">
        <v>38</v>
      </c>
      <c r="G28" s="32">
        <v>107.783766</v>
      </c>
      <c r="H28" s="39"/>
      <c r="I28" s="32">
        <f t="shared" si="1"/>
        <v>0.8946052578</v>
      </c>
      <c r="J28" s="32">
        <f t="shared" si="2"/>
        <v>108.6783713</v>
      </c>
      <c r="K28" s="34"/>
      <c r="L28" s="32">
        <f t="shared" si="3"/>
        <v>108.6783713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24.75" customHeight="1">
      <c r="A29" s="11">
        <v>23.0</v>
      </c>
      <c r="B29" s="30" t="s">
        <v>61</v>
      </c>
      <c r="C29" s="30" t="s">
        <v>91</v>
      </c>
      <c r="D29" s="30" t="s">
        <v>94</v>
      </c>
      <c r="E29" s="31">
        <v>45171.0</v>
      </c>
      <c r="F29" s="31" t="s">
        <v>38</v>
      </c>
      <c r="G29" s="32">
        <v>77.30846263936661</v>
      </c>
      <c r="H29" s="40">
        <v>50.0</v>
      </c>
      <c r="I29" s="33">
        <f t="shared" si="1"/>
        <v>0.6416602399</v>
      </c>
      <c r="J29" s="33">
        <f t="shared" si="2"/>
        <v>127.9501229</v>
      </c>
      <c r="K29" s="30"/>
      <c r="L29" s="33">
        <f t="shared" si="3"/>
        <v>127.9501229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24.75" customHeight="1">
      <c r="A30" s="11">
        <v>24.0</v>
      </c>
      <c r="B30" s="30" t="s">
        <v>63</v>
      </c>
      <c r="C30" s="30" t="s">
        <v>91</v>
      </c>
      <c r="D30" s="30" t="s">
        <v>94</v>
      </c>
      <c r="E30" s="31">
        <v>45146.0</v>
      </c>
      <c r="F30" s="31" t="s">
        <v>39</v>
      </c>
      <c r="G30" s="32">
        <v>202.08880658935</v>
      </c>
      <c r="H30" s="40"/>
      <c r="I30" s="33">
        <f t="shared" si="1"/>
        <v>1.677337095</v>
      </c>
      <c r="J30" s="33">
        <f t="shared" si="2"/>
        <v>203.7661437</v>
      </c>
      <c r="K30" s="30"/>
      <c r="L30" s="33">
        <f t="shared" si="3"/>
        <v>203.7661437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24.75" customHeight="1">
      <c r="A31" s="11">
        <v>25.0</v>
      </c>
      <c r="B31" s="30" t="s">
        <v>64</v>
      </c>
      <c r="C31" s="30" t="s">
        <v>91</v>
      </c>
      <c r="D31" s="30" t="s">
        <v>94</v>
      </c>
      <c r="E31" s="31">
        <v>45174.0</v>
      </c>
      <c r="F31" s="31" t="s">
        <v>40</v>
      </c>
      <c r="G31" s="32">
        <v>213.50741307869998</v>
      </c>
      <c r="H31" s="40">
        <v>100.0</v>
      </c>
      <c r="I31" s="33">
        <f t="shared" si="1"/>
        <v>1.772111529</v>
      </c>
      <c r="J31" s="33">
        <f t="shared" si="2"/>
        <v>315.2795246</v>
      </c>
      <c r="K31" s="30"/>
      <c r="L31" s="33">
        <f t="shared" si="3"/>
        <v>315.2795246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24.75" customHeight="1">
      <c r="A32" s="11">
        <v>26.0</v>
      </c>
      <c r="B32" s="30" t="s">
        <v>65</v>
      </c>
      <c r="C32" s="30" t="s">
        <v>91</v>
      </c>
      <c r="D32" s="30" t="s">
        <v>94</v>
      </c>
      <c r="E32" s="31">
        <v>45059.0</v>
      </c>
      <c r="F32" s="31" t="s">
        <v>39</v>
      </c>
      <c r="G32" s="32">
        <v>20.50214483574</v>
      </c>
      <c r="H32" s="40"/>
      <c r="I32" s="33">
        <f t="shared" si="1"/>
        <v>0.1701678021</v>
      </c>
      <c r="J32" s="33">
        <f t="shared" si="2"/>
        <v>20.67231264</v>
      </c>
      <c r="K32" s="30"/>
      <c r="L32" s="33">
        <f t="shared" si="3"/>
        <v>20.67231264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24.75" customHeight="1">
      <c r="A33" s="11">
        <v>27.0</v>
      </c>
      <c r="B33" s="30" t="s">
        <v>66</v>
      </c>
      <c r="C33" s="30" t="s">
        <v>91</v>
      </c>
      <c r="D33" s="30" t="s">
        <v>94</v>
      </c>
      <c r="E33" s="31">
        <v>45060.0</v>
      </c>
      <c r="F33" s="31" t="s">
        <v>33</v>
      </c>
      <c r="G33" s="32">
        <v>30.753217253609996</v>
      </c>
      <c r="H33" s="40"/>
      <c r="I33" s="33">
        <f t="shared" si="1"/>
        <v>0.2552517032</v>
      </c>
      <c r="J33" s="33">
        <f t="shared" si="2"/>
        <v>31.00846896</v>
      </c>
      <c r="K33" s="30"/>
      <c r="L33" s="33">
        <f t="shared" si="3"/>
        <v>31.00846896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24.75" customHeight="1">
      <c r="A34" s="11">
        <v>28.0</v>
      </c>
      <c r="B34" s="30" t="s">
        <v>99</v>
      </c>
      <c r="C34" s="30" t="s">
        <v>91</v>
      </c>
      <c r="D34" s="30" t="s">
        <v>94</v>
      </c>
      <c r="E34" s="31">
        <v>45085.0</v>
      </c>
      <c r="F34" s="31" t="s">
        <v>38</v>
      </c>
      <c r="G34" s="32">
        <v>201.66</v>
      </c>
      <c r="H34" s="40"/>
      <c r="I34" s="33">
        <f t="shared" si="1"/>
        <v>1.673778</v>
      </c>
      <c r="J34" s="33">
        <f t="shared" si="2"/>
        <v>203.333778</v>
      </c>
      <c r="K34" s="30"/>
      <c r="L34" s="33">
        <f t="shared" si="3"/>
        <v>203.333778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24.75" customHeight="1">
      <c r="A35" s="11">
        <v>29.0</v>
      </c>
      <c r="B35" s="30" t="s">
        <v>100</v>
      </c>
      <c r="C35" s="30" t="s">
        <v>93</v>
      </c>
      <c r="D35" s="30" t="s">
        <v>94</v>
      </c>
      <c r="E35" s="31">
        <v>45171.0</v>
      </c>
      <c r="F35" s="31" t="s">
        <v>39</v>
      </c>
      <c r="G35" s="32">
        <v>5.0</v>
      </c>
      <c r="H35" s="32"/>
      <c r="I35" s="33"/>
      <c r="J35" s="33">
        <f t="shared" si="2"/>
        <v>5</v>
      </c>
      <c r="K35" s="30"/>
      <c r="L35" s="33">
        <f t="shared" si="3"/>
        <v>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24.75" customHeight="1">
      <c r="A36" s="11">
        <v>30.0</v>
      </c>
      <c r="B36" s="30" t="s">
        <v>101</v>
      </c>
      <c r="C36" s="30" t="s">
        <v>93</v>
      </c>
      <c r="D36" s="30" t="s">
        <v>94</v>
      </c>
      <c r="E36" s="31">
        <v>45171.0</v>
      </c>
      <c r="F36" s="31" t="s">
        <v>35</v>
      </c>
      <c r="G36" s="32">
        <v>50.0</v>
      </c>
      <c r="H36" s="32"/>
      <c r="I36" s="33"/>
      <c r="J36" s="33">
        <f t="shared" si="2"/>
        <v>50</v>
      </c>
      <c r="K36" s="30"/>
      <c r="L36" s="33">
        <f t="shared" si="3"/>
        <v>50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24.75" customHeight="1">
      <c r="A37" s="11">
        <v>31.0</v>
      </c>
      <c r="B37" s="30" t="s">
        <v>102</v>
      </c>
      <c r="C37" s="30"/>
      <c r="D37" s="30" t="s">
        <v>94</v>
      </c>
      <c r="E37" s="31">
        <v>45173.0</v>
      </c>
      <c r="F37" s="31"/>
      <c r="G37" s="32">
        <v>5.0</v>
      </c>
      <c r="H37" s="32"/>
      <c r="I37" s="33"/>
      <c r="J37" s="33">
        <f t="shared" si="2"/>
        <v>5</v>
      </c>
      <c r="K37" s="30"/>
      <c r="L37" s="33">
        <f t="shared" si="3"/>
        <v>5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11"/>
      <c r="B38" s="13"/>
      <c r="C38" s="13"/>
      <c r="D38" s="13"/>
      <c r="E38" s="14"/>
      <c r="F38" s="14"/>
      <c r="G38" s="13"/>
      <c r="H38" s="13"/>
      <c r="I38" s="16"/>
      <c r="J38" s="16"/>
      <c r="K38" s="13"/>
      <c r="L38" s="1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17"/>
      <c r="B39" s="13"/>
      <c r="C39" s="13"/>
      <c r="D39" s="13"/>
      <c r="E39" s="13"/>
      <c r="F39" s="13"/>
      <c r="G39" s="18">
        <f t="shared" ref="G39:L39" si="4">SUM(G7:G37)</f>
        <v>38711.02334</v>
      </c>
      <c r="H39" s="18">
        <f t="shared" si="4"/>
        <v>1063.36</v>
      </c>
      <c r="I39" s="18">
        <f t="shared" si="4"/>
        <v>320.8034938</v>
      </c>
      <c r="J39" s="18">
        <f t="shared" si="4"/>
        <v>40095.18684</v>
      </c>
      <c r="K39" s="18">
        <f t="shared" si="4"/>
        <v>0</v>
      </c>
      <c r="L39" s="18">
        <f t="shared" si="4"/>
        <v>40095.18684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2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9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29" t="s">
        <v>103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4.75" customHeight="1">
      <c r="A7" s="41">
        <v>1.0</v>
      </c>
      <c r="B7" s="30" t="s">
        <v>46</v>
      </c>
      <c r="C7" s="30" t="s">
        <v>91</v>
      </c>
      <c r="D7" s="30" t="s">
        <v>92</v>
      </c>
      <c r="E7" s="31">
        <v>45149.0</v>
      </c>
      <c r="F7" s="31"/>
      <c r="G7" s="32">
        <v>4057.2980304035573</v>
      </c>
      <c r="H7" s="32"/>
      <c r="I7" s="33">
        <f t="shared" ref="I7:I37" si="1">G7*0.83%</f>
        <v>33.67557365</v>
      </c>
      <c r="J7" s="33">
        <f t="shared" ref="J7:J46" si="2">G7+H7+I7</f>
        <v>4090.973604</v>
      </c>
      <c r="K7" s="30"/>
      <c r="L7" s="33">
        <f t="shared" ref="L7:L46" si="3">J7-K7</f>
        <v>4090.973604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45209.0</v>
      </c>
      <c r="F8" s="31"/>
      <c r="G8" s="32">
        <v>6392.249290031171</v>
      </c>
      <c r="H8" s="32">
        <v>20.0</v>
      </c>
      <c r="I8" s="33">
        <f t="shared" si="1"/>
        <v>53.05566911</v>
      </c>
      <c r="J8" s="33">
        <f t="shared" si="2"/>
        <v>6465.304959</v>
      </c>
      <c r="K8" s="30"/>
      <c r="L8" s="33">
        <f t="shared" si="3"/>
        <v>6465.304959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45208.0</v>
      </c>
      <c r="F9" s="31"/>
      <c r="G9" s="32">
        <v>6159.371846675916</v>
      </c>
      <c r="H9" s="32">
        <v>50.0</v>
      </c>
      <c r="I9" s="33">
        <f t="shared" si="1"/>
        <v>51.12278633</v>
      </c>
      <c r="J9" s="33">
        <f t="shared" si="2"/>
        <v>6260.494633</v>
      </c>
      <c r="K9" s="30"/>
      <c r="L9" s="33">
        <f t="shared" si="3"/>
        <v>6260.494633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4.75" customHeight="1">
      <c r="A10" s="41">
        <v>4.0</v>
      </c>
      <c r="B10" s="30" t="s">
        <v>35</v>
      </c>
      <c r="C10" s="30" t="s">
        <v>93</v>
      </c>
      <c r="D10" s="30" t="s">
        <v>92</v>
      </c>
      <c r="E10" s="31">
        <v>45171.0</v>
      </c>
      <c r="F10" s="31"/>
      <c r="G10" s="32">
        <v>5624.518807648375</v>
      </c>
      <c r="H10" s="32"/>
      <c r="I10" s="33">
        <f t="shared" si="1"/>
        <v>46.6835061</v>
      </c>
      <c r="J10" s="33">
        <f t="shared" si="2"/>
        <v>5671.202314</v>
      </c>
      <c r="K10" s="30"/>
      <c r="L10" s="33">
        <f t="shared" si="3"/>
        <v>5671.202314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4.75" customHeight="1">
      <c r="A11" s="41">
        <v>5.0</v>
      </c>
      <c r="B11" s="30" t="s">
        <v>36</v>
      </c>
      <c r="C11" s="30" t="s">
        <v>91</v>
      </c>
      <c r="D11" s="30" t="s">
        <v>92</v>
      </c>
      <c r="E11" s="31">
        <v>45208.0</v>
      </c>
      <c r="F11" s="31"/>
      <c r="G11" s="32">
        <v>353.08264804981854</v>
      </c>
      <c r="H11" s="32">
        <v>50.0</v>
      </c>
      <c r="I11" s="33">
        <f t="shared" si="1"/>
        <v>2.930585979</v>
      </c>
      <c r="J11" s="33">
        <f t="shared" si="2"/>
        <v>406.013234</v>
      </c>
      <c r="K11" s="30"/>
      <c r="L11" s="33">
        <f t="shared" si="3"/>
        <v>406.013234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4.75" customHeight="1">
      <c r="A12" s="41">
        <v>6.0</v>
      </c>
      <c r="B12" s="30" t="s">
        <v>47</v>
      </c>
      <c r="C12" s="30" t="s">
        <v>91</v>
      </c>
      <c r="D12" s="30" t="s">
        <v>92</v>
      </c>
      <c r="E12" s="31">
        <v>45181.0</v>
      </c>
      <c r="F12" s="31"/>
      <c r="G12" s="32">
        <v>2370.1971161846623</v>
      </c>
      <c r="H12" s="32"/>
      <c r="I12" s="33">
        <f t="shared" si="1"/>
        <v>19.67263606</v>
      </c>
      <c r="J12" s="33">
        <f t="shared" si="2"/>
        <v>2389.869752</v>
      </c>
      <c r="K12" s="30"/>
      <c r="L12" s="33">
        <f t="shared" si="3"/>
        <v>2389.869752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45179.0</v>
      </c>
      <c r="F13" s="31"/>
      <c r="G13" s="32">
        <v>6094.476386116015</v>
      </c>
      <c r="H13" s="32">
        <v>37.32</v>
      </c>
      <c r="I13" s="33">
        <f t="shared" si="1"/>
        <v>50.584154</v>
      </c>
      <c r="J13" s="33">
        <f t="shared" si="2"/>
        <v>6182.38054</v>
      </c>
      <c r="K13" s="30"/>
      <c r="L13" s="33">
        <f t="shared" si="3"/>
        <v>6182.38054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45201.0</v>
      </c>
      <c r="F14" s="31"/>
      <c r="G14" s="32">
        <v>5612.024621508885</v>
      </c>
      <c r="H14" s="32">
        <v>50.0</v>
      </c>
      <c r="I14" s="33">
        <f t="shared" si="1"/>
        <v>46.57980436</v>
      </c>
      <c r="J14" s="33">
        <f t="shared" si="2"/>
        <v>5708.604426</v>
      </c>
      <c r="K14" s="30"/>
      <c r="L14" s="33">
        <f t="shared" si="3"/>
        <v>5708.604426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4.75" customHeight="1">
      <c r="A15" s="41">
        <v>9.0</v>
      </c>
      <c r="B15" s="30" t="s">
        <v>49</v>
      </c>
      <c r="C15" s="30" t="s">
        <v>91</v>
      </c>
      <c r="D15" s="30" t="s">
        <v>94</v>
      </c>
      <c r="E15" s="31">
        <v>45201.0</v>
      </c>
      <c r="F15" s="31" t="s">
        <v>38</v>
      </c>
      <c r="G15" s="32">
        <v>41.181490659810734</v>
      </c>
      <c r="H15" s="32">
        <v>5.0</v>
      </c>
      <c r="I15" s="33">
        <f t="shared" si="1"/>
        <v>0.3418063725</v>
      </c>
      <c r="J15" s="33">
        <f t="shared" si="2"/>
        <v>46.52329703</v>
      </c>
      <c r="K15" s="30"/>
      <c r="L15" s="33">
        <f t="shared" si="3"/>
        <v>46.52329703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4.75" customHeight="1">
      <c r="A16" s="41">
        <v>10.0</v>
      </c>
      <c r="B16" s="30" t="s">
        <v>58</v>
      </c>
      <c r="C16" s="30" t="s">
        <v>93</v>
      </c>
      <c r="D16" s="30" t="s">
        <v>94</v>
      </c>
      <c r="E16" s="31">
        <v>45203.0</v>
      </c>
      <c r="F16" s="31" t="s">
        <v>39</v>
      </c>
      <c r="G16" s="32">
        <v>123.54869200647194</v>
      </c>
      <c r="H16" s="32">
        <v>20.0</v>
      </c>
      <c r="I16" s="33">
        <f t="shared" si="1"/>
        <v>1.025454144</v>
      </c>
      <c r="J16" s="33">
        <f t="shared" si="2"/>
        <v>144.5741462</v>
      </c>
      <c r="K16" s="30"/>
      <c r="L16" s="33">
        <f t="shared" si="3"/>
        <v>144.5741462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4.75" customHeight="1">
      <c r="A17" s="41">
        <v>11.0</v>
      </c>
      <c r="B17" s="30" t="s">
        <v>51</v>
      </c>
      <c r="C17" s="30" t="s">
        <v>91</v>
      </c>
      <c r="D17" s="30" t="s">
        <v>94</v>
      </c>
      <c r="E17" s="31">
        <v>45201.0</v>
      </c>
      <c r="F17" s="31" t="s">
        <v>34</v>
      </c>
      <c r="G17" s="32">
        <v>51.604878584297644</v>
      </c>
      <c r="H17" s="32">
        <v>10.0</v>
      </c>
      <c r="I17" s="33">
        <f t="shared" si="1"/>
        <v>0.4283204922</v>
      </c>
      <c r="J17" s="33">
        <f t="shared" si="2"/>
        <v>62.03319908</v>
      </c>
      <c r="K17" s="30"/>
      <c r="L17" s="33">
        <f t="shared" si="3"/>
        <v>62.03319908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4.75" customHeight="1">
      <c r="A18" s="4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32">
        <v>79.03320951489444</v>
      </c>
      <c r="H18" s="32"/>
      <c r="I18" s="33">
        <f t="shared" si="1"/>
        <v>0.655975639</v>
      </c>
      <c r="J18" s="33">
        <f t="shared" si="2"/>
        <v>79.68918515</v>
      </c>
      <c r="K18" s="30"/>
      <c r="L18" s="33">
        <f t="shared" si="3"/>
        <v>79.68918515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4.75" customHeight="1">
      <c r="A19" s="41">
        <v>13.0</v>
      </c>
      <c r="B19" s="30" t="s">
        <v>72</v>
      </c>
      <c r="C19" s="30" t="s">
        <v>91</v>
      </c>
      <c r="D19" s="30" t="s">
        <v>94</v>
      </c>
      <c r="E19" s="31">
        <v>45209.0</v>
      </c>
      <c r="F19" s="31" t="s">
        <v>38</v>
      </c>
      <c r="G19" s="32">
        <v>102.19286002531226</v>
      </c>
      <c r="H19" s="32">
        <v>20.0</v>
      </c>
      <c r="I19" s="33">
        <f t="shared" si="1"/>
        <v>0.8482007382</v>
      </c>
      <c r="J19" s="33">
        <f t="shared" si="2"/>
        <v>123.0410608</v>
      </c>
      <c r="K19" s="30"/>
      <c r="L19" s="33">
        <f t="shared" si="3"/>
        <v>123.0410608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1">
        <v>14.0</v>
      </c>
      <c r="B20" s="34" t="s">
        <v>54</v>
      </c>
      <c r="C20" s="34" t="s">
        <v>91</v>
      </c>
      <c r="D20" s="30" t="s">
        <v>94</v>
      </c>
      <c r="E20" s="35">
        <v>45079.0</v>
      </c>
      <c r="F20" s="35" t="s">
        <v>34</v>
      </c>
      <c r="G20" s="32">
        <v>521.1329241962147</v>
      </c>
      <c r="H20" s="32"/>
      <c r="I20" s="32">
        <f t="shared" si="1"/>
        <v>4.325403271</v>
      </c>
      <c r="J20" s="32">
        <f t="shared" si="2"/>
        <v>525.4583275</v>
      </c>
      <c r="K20" s="34"/>
      <c r="L20" s="32">
        <f t="shared" si="3"/>
        <v>525.4583275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4.75" customHeight="1">
      <c r="A21" s="41">
        <v>15.0</v>
      </c>
      <c r="B21" s="30" t="s">
        <v>55</v>
      </c>
      <c r="C21" s="30" t="s">
        <v>91</v>
      </c>
      <c r="D21" s="30" t="s">
        <v>94</v>
      </c>
      <c r="E21" s="31">
        <v>45201.0</v>
      </c>
      <c r="F21" s="31" t="s">
        <v>33</v>
      </c>
      <c r="G21" s="32">
        <v>67.19766426288099</v>
      </c>
      <c r="H21" s="32">
        <v>25.0</v>
      </c>
      <c r="I21" s="33">
        <f t="shared" si="1"/>
        <v>0.5577406134</v>
      </c>
      <c r="J21" s="33">
        <f t="shared" si="2"/>
        <v>92.75540488</v>
      </c>
      <c r="K21" s="30"/>
      <c r="L21" s="33">
        <f t="shared" si="3"/>
        <v>92.75540488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4.75" customHeight="1">
      <c r="A22" s="24">
        <v>16.0</v>
      </c>
      <c r="B22" s="36" t="s">
        <v>56</v>
      </c>
      <c r="C22" s="36" t="s">
        <v>91</v>
      </c>
      <c r="D22" s="36" t="s">
        <v>94</v>
      </c>
      <c r="E22" s="37">
        <v>45170.0</v>
      </c>
      <c r="F22" s="37" t="s">
        <v>33</v>
      </c>
      <c r="G22" s="38">
        <v>164.55996263924294</v>
      </c>
      <c r="H22" s="38"/>
      <c r="I22" s="38">
        <f t="shared" si="1"/>
        <v>1.36584769</v>
      </c>
      <c r="J22" s="38">
        <f t="shared" si="2"/>
        <v>165.9258103</v>
      </c>
      <c r="K22" s="36"/>
      <c r="L22" s="38">
        <f t="shared" si="3"/>
        <v>165.9258103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1">
        <v>45205.0</v>
      </c>
      <c r="F23" s="31" t="s">
        <v>38</v>
      </c>
      <c r="G23" s="32">
        <v>820.2557273965723</v>
      </c>
      <c r="H23" s="33">
        <v>25.0</v>
      </c>
      <c r="I23" s="33">
        <f t="shared" si="1"/>
        <v>6.808122537</v>
      </c>
      <c r="J23" s="33">
        <f t="shared" si="2"/>
        <v>852.0638499</v>
      </c>
      <c r="K23" s="30"/>
      <c r="L23" s="33">
        <f t="shared" si="3"/>
        <v>852.0638499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24.75" customHeight="1">
      <c r="A24" s="41">
        <v>18.0</v>
      </c>
      <c r="B24" s="34" t="s">
        <v>41</v>
      </c>
      <c r="C24" s="34" t="s">
        <v>91</v>
      </c>
      <c r="D24" s="30" t="s">
        <v>94</v>
      </c>
      <c r="E24" s="35">
        <v>45201.0</v>
      </c>
      <c r="F24" s="35" t="s">
        <v>34</v>
      </c>
      <c r="G24" s="32">
        <v>87.28284127571239</v>
      </c>
      <c r="H24" s="39">
        <v>20.0</v>
      </c>
      <c r="I24" s="32">
        <f t="shared" si="1"/>
        <v>0.7244475826</v>
      </c>
      <c r="J24" s="32">
        <f t="shared" si="2"/>
        <v>108.0072889</v>
      </c>
      <c r="K24" s="34"/>
      <c r="L24" s="32">
        <f t="shared" si="3"/>
        <v>108.0072889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1">
        <v>45201.0</v>
      </c>
      <c r="F25" s="31" t="s">
        <v>39</v>
      </c>
      <c r="G25" s="32">
        <v>196.09318812914864</v>
      </c>
      <c r="H25" s="40">
        <v>30.0</v>
      </c>
      <c r="I25" s="33">
        <f t="shared" si="1"/>
        <v>1.627573461</v>
      </c>
      <c r="J25" s="33">
        <f t="shared" si="2"/>
        <v>227.7207616</v>
      </c>
      <c r="K25" s="30"/>
      <c r="L25" s="33">
        <f t="shared" si="3"/>
        <v>227.7207616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4.75" customHeight="1">
      <c r="A26" s="41">
        <v>20.0</v>
      </c>
      <c r="B26" s="30" t="s">
        <v>96</v>
      </c>
      <c r="C26" s="30" t="s">
        <v>91</v>
      </c>
      <c r="D26" s="30" t="s">
        <v>94</v>
      </c>
      <c r="E26" s="31">
        <v>45171.0</v>
      </c>
      <c r="F26" s="31" t="s">
        <v>33</v>
      </c>
      <c r="G26" s="32">
        <v>71.94170636329714</v>
      </c>
      <c r="H26" s="40">
        <v>5.0</v>
      </c>
      <c r="I26" s="33">
        <f t="shared" si="1"/>
        <v>0.5971161628</v>
      </c>
      <c r="J26" s="33">
        <f t="shared" si="2"/>
        <v>77.53882253</v>
      </c>
      <c r="K26" s="30"/>
      <c r="L26" s="33">
        <f t="shared" si="3"/>
        <v>77.53882253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4.75" customHeight="1">
      <c r="A27" s="41">
        <v>21.0</v>
      </c>
      <c r="B27" s="30" t="s">
        <v>97</v>
      </c>
      <c r="C27" s="30" t="s">
        <v>93</v>
      </c>
      <c r="D27" s="30" t="s">
        <v>94</v>
      </c>
      <c r="E27" s="31">
        <v>45211.0</v>
      </c>
      <c r="F27" s="31" t="s">
        <v>34</v>
      </c>
      <c r="G27" s="32">
        <v>35.254224285820754</v>
      </c>
      <c r="H27" s="40">
        <v>5.0</v>
      </c>
      <c r="I27" s="33">
        <f t="shared" si="1"/>
        <v>0.2926100616</v>
      </c>
      <c r="J27" s="33">
        <f t="shared" si="2"/>
        <v>40.54683435</v>
      </c>
      <c r="K27" s="30"/>
      <c r="L27" s="33">
        <f t="shared" si="3"/>
        <v>40.54683435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4.75" customHeight="1">
      <c r="A28" s="41">
        <v>22.0</v>
      </c>
      <c r="B28" s="34" t="s">
        <v>98</v>
      </c>
      <c r="C28" s="34" t="s">
        <v>93</v>
      </c>
      <c r="D28" s="30" t="s">
        <v>94</v>
      </c>
      <c r="E28" s="35">
        <v>45140.0</v>
      </c>
      <c r="F28" s="35" t="s">
        <v>38</v>
      </c>
      <c r="G28" s="32">
        <v>108.6783712578</v>
      </c>
      <c r="H28" s="39"/>
      <c r="I28" s="32">
        <f t="shared" si="1"/>
        <v>0.9020304814</v>
      </c>
      <c r="J28" s="32">
        <f t="shared" si="2"/>
        <v>109.5804017</v>
      </c>
      <c r="K28" s="34"/>
      <c r="L28" s="32">
        <f t="shared" si="3"/>
        <v>109.5804017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24.75" customHeight="1">
      <c r="A29" s="41">
        <v>23.0</v>
      </c>
      <c r="B29" s="30" t="s">
        <v>61</v>
      </c>
      <c r="C29" s="30" t="s">
        <v>91</v>
      </c>
      <c r="D29" s="30" t="s">
        <v>94</v>
      </c>
      <c r="E29" s="31">
        <v>45171.0</v>
      </c>
      <c r="F29" s="31" t="s">
        <v>38</v>
      </c>
      <c r="G29" s="32">
        <v>127.95012287927335</v>
      </c>
      <c r="H29" s="40"/>
      <c r="I29" s="33">
        <f t="shared" si="1"/>
        <v>1.06198602</v>
      </c>
      <c r="J29" s="33">
        <f t="shared" si="2"/>
        <v>129.0121089</v>
      </c>
      <c r="K29" s="30"/>
      <c r="L29" s="33">
        <f t="shared" si="3"/>
        <v>129.0121089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24.75" customHeight="1">
      <c r="A30" s="41">
        <v>24.0</v>
      </c>
      <c r="B30" s="30" t="s">
        <v>63</v>
      </c>
      <c r="C30" s="30" t="s">
        <v>91</v>
      </c>
      <c r="D30" s="30" t="s">
        <v>94</v>
      </c>
      <c r="E30" s="31">
        <v>45209.0</v>
      </c>
      <c r="F30" s="31" t="s">
        <v>39</v>
      </c>
      <c r="G30" s="32">
        <v>203.76614368404162</v>
      </c>
      <c r="H30" s="40">
        <v>100.0</v>
      </c>
      <c r="I30" s="33">
        <f t="shared" si="1"/>
        <v>1.691258993</v>
      </c>
      <c r="J30" s="33">
        <f t="shared" si="2"/>
        <v>305.4574027</v>
      </c>
      <c r="K30" s="30"/>
      <c r="L30" s="33">
        <f t="shared" si="3"/>
        <v>305.4574027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24.75" customHeight="1">
      <c r="A31" s="41">
        <v>25.0</v>
      </c>
      <c r="B31" s="34" t="s">
        <v>64</v>
      </c>
      <c r="C31" s="30" t="s">
        <v>91</v>
      </c>
      <c r="D31" s="30" t="s">
        <v>94</v>
      </c>
      <c r="E31" s="31">
        <v>45201.0</v>
      </c>
      <c r="F31" s="31" t="s">
        <v>40</v>
      </c>
      <c r="G31" s="32">
        <v>315.27952460725317</v>
      </c>
      <c r="H31" s="40">
        <v>100.0</v>
      </c>
      <c r="I31" s="33">
        <f t="shared" si="1"/>
        <v>2.616820054</v>
      </c>
      <c r="J31" s="33">
        <f t="shared" si="2"/>
        <v>417.8963447</v>
      </c>
      <c r="K31" s="30"/>
      <c r="L31" s="33">
        <f t="shared" si="3"/>
        <v>417.8963447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24.75" customHeight="1">
      <c r="A32" s="41">
        <v>26.0</v>
      </c>
      <c r="B32" s="30" t="s">
        <v>65</v>
      </c>
      <c r="C32" s="30" t="s">
        <v>91</v>
      </c>
      <c r="D32" s="30" t="s">
        <v>94</v>
      </c>
      <c r="E32" s="31">
        <v>45059.0</v>
      </c>
      <c r="F32" s="31" t="s">
        <v>39</v>
      </c>
      <c r="G32" s="32">
        <v>20.672312637876644</v>
      </c>
      <c r="H32" s="40"/>
      <c r="I32" s="33">
        <f t="shared" si="1"/>
        <v>0.1715801949</v>
      </c>
      <c r="J32" s="33">
        <f t="shared" si="2"/>
        <v>20.84389283</v>
      </c>
      <c r="K32" s="30"/>
      <c r="L32" s="33">
        <f t="shared" si="3"/>
        <v>20.84389283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24.75" customHeight="1">
      <c r="A33" s="41">
        <v>27.0</v>
      </c>
      <c r="B33" s="30" t="s">
        <v>66</v>
      </c>
      <c r="C33" s="30" t="s">
        <v>91</v>
      </c>
      <c r="D33" s="30" t="s">
        <v>94</v>
      </c>
      <c r="E33" s="31">
        <v>45209.0</v>
      </c>
      <c r="F33" s="31" t="s">
        <v>33</v>
      </c>
      <c r="G33" s="32">
        <v>31.00846895681496</v>
      </c>
      <c r="H33" s="40">
        <v>30.0</v>
      </c>
      <c r="I33" s="33">
        <f t="shared" si="1"/>
        <v>0.2573702923</v>
      </c>
      <c r="J33" s="33">
        <f t="shared" si="2"/>
        <v>61.26583925</v>
      </c>
      <c r="K33" s="30"/>
      <c r="L33" s="33">
        <f t="shared" si="3"/>
        <v>61.26583925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24.75" customHeight="1">
      <c r="A34" s="41">
        <v>28.0</v>
      </c>
      <c r="B34" s="30" t="s">
        <v>99</v>
      </c>
      <c r="C34" s="30" t="s">
        <v>91</v>
      </c>
      <c r="D34" s="30" t="s">
        <v>94</v>
      </c>
      <c r="E34" s="31">
        <v>45085.0</v>
      </c>
      <c r="F34" s="31" t="s">
        <v>38</v>
      </c>
      <c r="G34" s="32">
        <v>203.333778</v>
      </c>
      <c r="H34" s="40"/>
      <c r="I34" s="33">
        <f t="shared" si="1"/>
        <v>1.687670357</v>
      </c>
      <c r="J34" s="33">
        <f t="shared" si="2"/>
        <v>205.0214484</v>
      </c>
      <c r="K34" s="30"/>
      <c r="L34" s="33">
        <f t="shared" si="3"/>
        <v>205.0214484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24.75" customHeight="1">
      <c r="A35" s="41">
        <v>29.0</v>
      </c>
      <c r="B35" s="30" t="s">
        <v>100</v>
      </c>
      <c r="C35" s="30" t="s">
        <v>93</v>
      </c>
      <c r="D35" s="30" t="s">
        <v>94</v>
      </c>
      <c r="E35" s="31">
        <v>45201.0</v>
      </c>
      <c r="F35" s="31" t="s">
        <v>39</v>
      </c>
      <c r="G35" s="32">
        <v>5.0</v>
      </c>
      <c r="H35" s="32">
        <v>10.0</v>
      </c>
      <c r="I35" s="33">
        <f t="shared" si="1"/>
        <v>0.0415</v>
      </c>
      <c r="J35" s="33">
        <f t="shared" si="2"/>
        <v>15.0415</v>
      </c>
      <c r="K35" s="30"/>
      <c r="L35" s="33">
        <f t="shared" si="3"/>
        <v>15.0415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24.75" customHeight="1">
      <c r="A36" s="41">
        <v>30.0</v>
      </c>
      <c r="B36" s="30" t="s">
        <v>101</v>
      </c>
      <c r="C36" s="30" t="s">
        <v>93</v>
      </c>
      <c r="D36" s="30" t="s">
        <v>94</v>
      </c>
      <c r="E36" s="31">
        <v>45201.0</v>
      </c>
      <c r="F36" s="31" t="s">
        <v>35</v>
      </c>
      <c r="G36" s="32">
        <v>50.0</v>
      </c>
      <c r="H36" s="32">
        <v>50.0</v>
      </c>
      <c r="I36" s="33">
        <f t="shared" si="1"/>
        <v>0.415</v>
      </c>
      <c r="J36" s="33">
        <f t="shared" si="2"/>
        <v>100.415</v>
      </c>
      <c r="K36" s="30"/>
      <c r="L36" s="33">
        <f t="shared" si="3"/>
        <v>100.415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24.75" customHeight="1">
      <c r="A37" s="41">
        <v>31.0</v>
      </c>
      <c r="B37" s="30" t="s">
        <v>102</v>
      </c>
      <c r="C37" s="30"/>
      <c r="D37" s="30" t="s">
        <v>94</v>
      </c>
      <c r="E37" s="31">
        <v>45173.0</v>
      </c>
      <c r="F37" s="31"/>
      <c r="G37" s="32">
        <v>5.0</v>
      </c>
      <c r="H37" s="32"/>
      <c r="I37" s="33">
        <f t="shared" si="1"/>
        <v>0.0415</v>
      </c>
      <c r="J37" s="33">
        <f t="shared" si="2"/>
        <v>5.0415</v>
      </c>
      <c r="K37" s="30"/>
      <c r="L37" s="33">
        <f t="shared" si="3"/>
        <v>5.0415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30.0" customHeight="1">
      <c r="A38" s="41">
        <v>32.0</v>
      </c>
      <c r="B38" s="30" t="s">
        <v>104</v>
      </c>
      <c r="C38" s="30"/>
      <c r="D38" s="30" t="s">
        <v>94</v>
      </c>
      <c r="E38" s="31">
        <v>45201.0</v>
      </c>
      <c r="F38" s="31"/>
      <c r="G38" s="32">
        <v>15.0</v>
      </c>
      <c r="H38" s="32"/>
      <c r="I38" s="33"/>
      <c r="J38" s="33">
        <f t="shared" si="2"/>
        <v>15</v>
      </c>
      <c r="K38" s="30"/>
      <c r="L38" s="33">
        <f t="shared" si="3"/>
        <v>15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30.0" customHeight="1">
      <c r="A39" s="41">
        <v>33.0</v>
      </c>
      <c r="B39" s="30" t="s">
        <v>105</v>
      </c>
      <c r="C39" s="30"/>
      <c r="D39" s="30" t="s">
        <v>94</v>
      </c>
      <c r="E39" s="31">
        <v>45201.0</v>
      </c>
      <c r="F39" s="31"/>
      <c r="G39" s="32">
        <v>100.0</v>
      </c>
      <c r="H39" s="32"/>
      <c r="I39" s="33"/>
      <c r="J39" s="33">
        <f t="shared" si="2"/>
        <v>100</v>
      </c>
      <c r="K39" s="30"/>
      <c r="L39" s="33">
        <f t="shared" si="3"/>
        <v>100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30.0" customHeight="1">
      <c r="A40" s="41">
        <v>34.0</v>
      </c>
      <c r="B40" s="30" t="s">
        <v>106</v>
      </c>
      <c r="C40" s="30"/>
      <c r="D40" s="30" t="s">
        <v>94</v>
      </c>
      <c r="E40" s="31">
        <v>45201.0</v>
      </c>
      <c r="F40" s="31"/>
      <c r="G40" s="32">
        <v>10.0</v>
      </c>
      <c r="H40" s="32"/>
      <c r="I40" s="33"/>
      <c r="J40" s="33">
        <f t="shared" si="2"/>
        <v>10</v>
      </c>
      <c r="K40" s="30"/>
      <c r="L40" s="33">
        <f t="shared" si="3"/>
        <v>10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30.0" customHeight="1">
      <c r="A41" s="41">
        <v>35.0</v>
      </c>
      <c r="B41" s="30" t="s">
        <v>107</v>
      </c>
      <c r="C41" s="30"/>
      <c r="D41" s="30" t="s">
        <v>94</v>
      </c>
      <c r="E41" s="31">
        <v>45201.0</v>
      </c>
      <c r="F41" s="31"/>
      <c r="G41" s="32">
        <v>20.0</v>
      </c>
      <c r="H41" s="32"/>
      <c r="I41" s="33"/>
      <c r="J41" s="33">
        <f t="shared" si="2"/>
        <v>20</v>
      </c>
      <c r="K41" s="30"/>
      <c r="L41" s="33">
        <f t="shared" si="3"/>
        <v>20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30.0" customHeight="1">
      <c r="A42" s="41">
        <v>36.0</v>
      </c>
      <c r="B42" s="30" t="s">
        <v>108</v>
      </c>
      <c r="C42" s="30"/>
      <c r="D42" s="30" t="s">
        <v>94</v>
      </c>
      <c r="E42" s="31">
        <v>45201.0</v>
      </c>
      <c r="F42" s="31"/>
      <c r="G42" s="32">
        <v>10.0</v>
      </c>
      <c r="H42" s="32"/>
      <c r="I42" s="33"/>
      <c r="J42" s="33">
        <f t="shared" si="2"/>
        <v>10</v>
      </c>
      <c r="K42" s="30"/>
      <c r="L42" s="33">
        <f t="shared" si="3"/>
        <v>10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30.0" customHeight="1">
      <c r="A43" s="41">
        <v>37.0</v>
      </c>
      <c r="B43" s="30" t="s">
        <v>109</v>
      </c>
      <c r="C43" s="30"/>
      <c r="D43" s="30" t="s">
        <v>94</v>
      </c>
      <c r="E43" s="31">
        <v>45202.0</v>
      </c>
      <c r="F43" s="31"/>
      <c r="G43" s="32">
        <v>25.0</v>
      </c>
      <c r="H43" s="32"/>
      <c r="I43" s="33"/>
      <c r="J43" s="33">
        <f t="shared" si="2"/>
        <v>25</v>
      </c>
      <c r="K43" s="30"/>
      <c r="L43" s="33">
        <f t="shared" si="3"/>
        <v>25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30.0" customHeight="1">
      <c r="A44" s="41">
        <v>38.0</v>
      </c>
      <c r="B44" s="30" t="s">
        <v>110</v>
      </c>
      <c r="C44" s="30"/>
      <c r="D44" s="30" t="s">
        <v>94</v>
      </c>
      <c r="E44" s="31">
        <v>45203.0</v>
      </c>
      <c r="F44" s="31"/>
      <c r="G44" s="32">
        <v>50.0</v>
      </c>
      <c r="H44" s="32"/>
      <c r="I44" s="33"/>
      <c r="J44" s="33">
        <f t="shared" si="2"/>
        <v>50</v>
      </c>
      <c r="K44" s="30"/>
      <c r="L44" s="33">
        <f t="shared" si="3"/>
        <v>50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30.0" customHeight="1">
      <c r="A45" s="41">
        <v>39.0</v>
      </c>
      <c r="B45" s="30" t="s">
        <v>111</v>
      </c>
      <c r="C45" s="30"/>
      <c r="D45" s="30" t="s">
        <v>94</v>
      </c>
      <c r="E45" s="31">
        <v>45209.0</v>
      </c>
      <c r="F45" s="31"/>
      <c r="G45" s="32">
        <v>10.5</v>
      </c>
      <c r="H45" s="32"/>
      <c r="I45" s="33"/>
      <c r="J45" s="33">
        <f t="shared" si="2"/>
        <v>10.5</v>
      </c>
      <c r="K45" s="30"/>
      <c r="L45" s="33">
        <f t="shared" si="3"/>
        <v>10.5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30.0" customHeight="1">
      <c r="A46" s="41">
        <v>40.0</v>
      </c>
      <c r="B46" s="30" t="s">
        <v>112</v>
      </c>
      <c r="C46" s="30"/>
      <c r="D46" s="30" t="s">
        <v>94</v>
      </c>
      <c r="E46" s="31">
        <v>45216.0</v>
      </c>
      <c r="F46" s="31"/>
      <c r="G46" s="32">
        <v>10.0</v>
      </c>
      <c r="H46" s="32"/>
      <c r="I46" s="33"/>
      <c r="J46" s="33">
        <f t="shared" si="2"/>
        <v>10</v>
      </c>
      <c r="K46" s="30"/>
      <c r="L46" s="33">
        <f t="shared" si="3"/>
        <v>10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11"/>
      <c r="B47" s="13"/>
      <c r="C47" s="13"/>
      <c r="D47" s="13"/>
      <c r="E47" s="14"/>
      <c r="F47" s="14"/>
      <c r="G47" s="13"/>
      <c r="H47" s="13"/>
      <c r="I47" s="16"/>
      <c r="J47" s="16"/>
      <c r="K47" s="13"/>
      <c r="L47" s="1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17"/>
      <c r="B48" s="13"/>
      <c r="C48" s="13"/>
      <c r="D48" s="13"/>
      <c r="E48" s="13"/>
      <c r="F48" s="13"/>
      <c r="G48" s="18">
        <f t="shared" ref="G48:L48" si="4">SUM(G7:G46)</f>
        <v>40345.68684</v>
      </c>
      <c r="H48" s="18">
        <f t="shared" si="4"/>
        <v>662.32</v>
      </c>
      <c r="I48" s="18">
        <f t="shared" si="4"/>
        <v>332.7900508</v>
      </c>
      <c r="J48" s="18">
        <f t="shared" si="4"/>
        <v>41340.79689</v>
      </c>
      <c r="K48" s="18">
        <f t="shared" si="4"/>
        <v>0</v>
      </c>
      <c r="L48" s="18">
        <f t="shared" si="4"/>
        <v>41340.79689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2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9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29" t="s">
        <v>113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4.75" customHeight="1">
      <c r="A7" s="41">
        <v>1.0</v>
      </c>
      <c r="B7" s="30" t="s">
        <v>46</v>
      </c>
      <c r="C7" s="30" t="s">
        <v>91</v>
      </c>
      <c r="D7" s="30" t="s">
        <v>92</v>
      </c>
      <c r="E7" s="31">
        <v>45235.0</v>
      </c>
      <c r="F7" s="31"/>
      <c r="G7" s="32">
        <v>4090.973604055907</v>
      </c>
      <c r="H7" s="32">
        <v>22.14</v>
      </c>
      <c r="I7" s="33">
        <f t="shared" ref="I7:I46" si="1">G7*0.83%</f>
        <v>33.95508091</v>
      </c>
      <c r="J7" s="33">
        <f t="shared" ref="J7:J46" si="2">G7+H7+I7</f>
        <v>4147.068685</v>
      </c>
      <c r="K7" s="30"/>
      <c r="L7" s="33">
        <f t="shared" ref="L7:L46" si="3">J7-K7</f>
        <v>4147.068685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45240.0</v>
      </c>
      <c r="F8" s="31"/>
      <c r="G8" s="32">
        <v>6465.30495913843</v>
      </c>
      <c r="H8" s="32">
        <v>50.0</v>
      </c>
      <c r="I8" s="33">
        <f t="shared" si="1"/>
        <v>53.66203116</v>
      </c>
      <c r="J8" s="33">
        <f t="shared" si="2"/>
        <v>6568.96699</v>
      </c>
      <c r="K8" s="30"/>
      <c r="L8" s="33">
        <f t="shared" si="3"/>
        <v>6568.96699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45235.0</v>
      </c>
      <c r="F9" s="31"/>
      <c r="G9" s="32">
        <v>6260.494633003325</v>
      </c>
      <c r="H9" s="32">
        <v>100.0</v>
      </c>
      <c r="I9" s="33">
        <f t="shared" si="1"/>
        <v>51.96210545</v>
      </c>
      <c r="J9" s="33">
        <f t="shared" si="2"/>
        <v>6412.456738</v>
      </c>
      <c r="K9" s="30"/>
      <c r="L9" s="33">
        <f t="shared" si="3"/>
        <v>6412.456738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4.75" customHeight="1">
      <c r="A10" s="41">
        <v>4.0</v>
      </c>
      <c r="B10" s="30" t="s">
        <v>35</v>
      </c>
      <c r="C10" s="30" t="s">
        <v>93</v>
      </c>
      <c r="D10" s="30" t="s">
        <v>92</v>
      </c>
      <c r="E10" s="31">
        <v>45171.0</v>
      </c>
      <c r="F10" s="31"/>
      <c r="G10" s="32">
        <v>5671.202313751856</v>
      </c>
      <c r="H10" s="32"/>
      <c r="I10" s="33">
        <f t="shared" si="1"/>
        <v>47.0709792</v>
      </c>
      <c r="J10" s="33">
        <f t="shared" si="2"/>
        <v>5718.273293</v>
      </c>
      <c r="K10" s="30"/>
      <c r="L10" s="33">
        <f t="shared" si="3"/>
        <v>5718.273293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4.75" customHeight="1">
      <c r="A11" s="41">
        <v>5.0</v>
      </c>
      <c r="B11" s="30" t="s">
        <v>36</v>
      </c>
      <c r="C11" s="30" t="s">
        <v>91</v>
      </c>
      <c r="D11" s="30" t="s">
        <v>92</v>
      </c>
      <c r="E11" s="31">
        <v>45239.0</v>
      </c>
      <c r="F11" s="31"/>
      <c r="G11" s="32">
        <v>406.01323402863204</v>
      </c>
      <c r="H11" s="32">
        <v>20.0</v>
      </c>
      <c r="I11" s="33">
        <f t="shared" si="1"/>
        <v>3.369909842</v>
      </c>
      <c r="J11" s="33">
        <f t="shared" si="2"/>
        <v>429.3831439</v>
      </c>
      <c r="K11" s="30"/>
      <c r="L11" s="33">
        <f t="shared" si="3"/>
        <v>429.3831439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4.75" customHeight="1">
      <c r="A12" s="41">
        <v>6.0</v>
      </c>
      <c r="B12" s="30" t="s">
        <v>47</v>
      </c>
      <c r="C12" s="30" t="s">
        <v>91</v>
      </c>
      <c r="D12" s="30" t="s">
        <v>92</v>
      </c>
      <c r="E12" s="31">
        <v>45236.0</v>
      </c>
      <c r="F12" s="31"/>
      <c r="G12" s="32">
        <v>2389.869752248995</v>
      </c>
      <c r="H12" s="32">
        <v>8.05</v>
      </c>
      <c r="I12" s="33">
        <f t="shared" si="1"/>
        <v>19.83591894</v>
      </c>
      <c r="J12" s="33">
        <f t="shared" si="2"/>
        <v>2417.755671</v>
      </c>
      <c r="K12" s="30"/>
      <c r="L12" s="33">
        <f t="shared" si="3"/>
        <v>2417.755671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45245.0</v>
      </c>
      <c r="F13" s="31"/>
      <c r="G13" s="32">
        <v>6182.380540120778</v>
      </c>
      <c r="H13" s="32">
        <v>40.64</v>
      </c>
      <c r="I13" s="33">
        <f t="shared" si="1"/>
        <v>51.31375848</v>
      </c>
      <c r="J13" s="33">
        <f t="shared" si="2"/>
        <v>6274.334299</v>
      </c>
      <c r="K13" s="30"/>
      <c r="L13" s="33">
        <f t="shared" si="3"/>
        <v>6274.334299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45235.0</v>
      </c>
      <c r="F14" s="31"/>
      <c r="G14" s="32">
        <v>5708.604425867408</v>
      </c>
      <c r="H14" s="32">
        <v>100.0</v>
      </c>
      <c r="I14" s="33">
        <f t="shared" si="1"/>
        <v>47.38141673</v>
      </c>
      <c r="J14" s="33">
        <f t="shared" si="2"/>
        <v>5855.985843</v>
      </c>
      <c r="K14" s="30"/>
      <c r="L14" s="33">
        <f t="shared" si="3"/>
        <v>5855.985843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4.75" customHeight="1">
      <c r="A15" s="41">
        <v>9.0</v>
      </c>
      <c r="B15" s="30" t="s">
        <v>49</v>
      </c>
      <c r="C15" s="30" t="s">
        <v>91</v>
      </c>
      <c r="D15" s="30" t="s">
        <v>94</v>
      </c>
      <c r="E15" s="31">
        <v>45236.0</v>
      </c>
      <c r="F15" s="31" t="s">
        <v>38</v>
      </c>
      <c r="G15" s="32">
        <v>46.52329703228716</v>
      </c>
      <c r="H15" s="32">
        <v>5.0</v>
      </c>
      <c r="I15" s="33">
        <f t="shared" si="1"/>
        <v>0.3861433654</v>
      </c>
      <c r="J15" s="33">
        <f t="shared" si="2"/>
        <v>51.9094404</v>
      </c>
      <c r="K15" s="30"/>
      <c r="L15" s="33">
        <f t="shared" si="3"/>
        <v>51.9094404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4.75" customHeight="1">
      <c r="A16" s="41">
        <v>10.0</v>
      </c>
      <c r="B16" s="30" t="s">
        <v>58</v>
      </c>
      <c r="C16" s="30" t="s">
        <v>93</v>
      </c>
      <c r="D16" s="30" t="s">
        <v>94</v>
      </c>
      <c r="E16" s="31">
        <v>45233.0</v>
      </c>
      <c r="F16" s="31" t="s">
        <v>39</v>
      </c>
      <c r="G16" s="32">
        <v>144.57414615012564</v>
      </c>
      <c r="H16" s="32">
        <v>20.0</v>
      </c>
      <c r="I16" s="33">
        <f t="shared" si="1"/>
        <v>1.199965413</v>
      </c>
      <c r="J16" s="33">
        <f t="shared" si="2"/>
        <v>165.7741116</v>
      </c>
      <c r="K16" s="30"/>
      <c r="L16" s="33">
        <f t="shared" si="3"/>
        <v>165.7741116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4.75" customHeight="1">
      <c r="A17" s="41">
        <v>11.0</v>
      </c>
      <c r="B17" s="30" t="s">
        <v>51</v>
      </c>
      <c r="C17" s="30" t="s">
        <v>91</v>
      </c>
      <c r="D17" s="30" t="s">
        <v>94</v>
      </c>
      <c r="E17" s="31">
        <v>45235.0</v>
      </c>
      <c r="F17" s="31" t="s">
        <v>34</v>
      </c>
      <c r="G17" s="32">
        <v>62.03319907654731</v>
      </c>
      <c r="H17" s="32">
        <v>10.0</v>
      </c>
      <c r="I17" s="33">
        <f t="shared" si="1"/>
        <v>0.5148755523</v>
      </c>
      <c r="J17" s="33">
        <f t="shared" si="2"/>
        <v>72.54807463</v>
      </c>
      <c r="K17" s="30"/>
      <c r="L17" s="33">
        <f t="shared" si="3"/>
        <v>72.54807463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4.75" customHeight="1">
      <c r="A18" s="4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32">
        <v>79.68918515386807</v>
      </c>
      <c r="H18" s="32"/>
      <c r="I18" s="33">
        <f t="shared" si="1"/>
        <v>0.6614202368</v>
      </c>
      <c r="J18" s="33">
        <f t="shared" si="2"/>
        <v>80.35060539</v>
      </c>
      <c r="K18" s="30"/>
      <c r="L18" s="33">
        <f t="shared" si="3"/>
        <v>80.35060539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4.75" customHeight="1">
      <c r="A19" s="41">
        <v>13.0</v>
      </c>
      <c r="B19" s="30" t="s">
        <v>72</v>
      </c>
      <c r="C19" s="30" t="s">
        <v>91</v>
      </c>
      <c r="D19" s="30" t="s">
        <v>94</v>
      </c>
      <c r="E19" s="31">
        <v>45240.0</v>
      </c>
      <c r="F19" s="31" t="s">
        <v>38</v>
      </c>
      <c r="G19" s="32">
        <v>123.04106076352235</v>
      </c>
      <c r="H19" s="32">
        <v>20.0</v>
      </c>
      <c r="I19" s="33">
        <f t="shared" si="1"/>
        <v>1.021240804</v>
      </c>
      <c r="J19" s="33">
        <f t="shared" si="2"/>
        <v>144.0623016</v>
      </c>
      <c r="K19" s="30"/>
      <c r="L19" s="33">
        <f t="shared" si="3"/>
        <v>144.0623016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7.75" customHeight="1">
      <c r="A20" s="41">
        <v>14.0</v>
      </c>
      <c r="B20" s="34" t="s">
        <v>54</v>
      </c>
      <c r="C20" s="34" t="s">
        <v>91</v>
      </c>
      <c r="D20" s="30" t="s">
        <v>94</v>
      </c>
      <c r="E20" s="35">
        <v>45235.0</v>
      </c>
      <c r="F20" s="35" t="s">
        <v>34</v>
      </c>
      <c r="G20" s="32">
        <v>525.4583274670433</v>
      </c>
      <c r="H20" s="32">
        <v>100.0</v>
      </c>
      <c r="I20" s="32">
        <f t="shared" si="1"/>
        <v>4.361304118</v>
      </c>
      <c r="J20" s="32">
        <f t="shared" si="2"/>
        <v>629.8196316</v>
      </c>
      <c r="K20" s="34"/>
      <c r="L20" s="32">
        <f t="shared" si="3"/>
        <v>629.8196316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4.75" customHeight="1">
      <c r="A21" s="41">
        <v>15.0</v>
      </c>
      <c r="B21" s="30" t="s">
        <v>55</v>
      </c>
      <c r="C21" s="30" t="s">
        <v>91</v>
      </c>
      <c r="D21" s="30" t="s">
        <v>94</v>
      </c>
      <c r="E21" s="31">
        <v>45201.0</v>
      </c>
      <c r="F21" s="31" t="s">
        <v>33</v>
      </c>
      <c r="G21" s="32">
        <v>92.7554048762629</v>
      </c>
      <c r="H21" s="32"/>
      <c r="I21" s="33">
        <f t="shared" si="1"/>
        <v>0.7698698605</v>
      </c>
      <c r="J21" s="33">
        <f t="shared" si="2"/>
        <v>93.52527474</v>
      </c>
      <c r="K21" s="30"/>
      <c r="L21" s="33">
        <f t="shared" si="3"/>
        <v>93.52527474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4.75" customHeight="1">
      <c r="A22" s="24">
        <v>16.0</v>
      </c>
      <c r="B22" s="36" t="s">
        <v>56</v>
      </c>
      <c r="C22" s="36" t="s">
        <v>91</v>
      </c>
      <c r="D22" s="36" t="s">
        <v>94</v>
      </c>
      <c r="E22" s="37">
        <v>45170.0</v>
      </c>
      <c r="F22" s="37" t="s">
        <v>33</v>
      </c>
      <c r="G22" s="38">
        <v>165.92581032914865</v>
      </c>
      <c r="H22" s="38"/>
      <c r="I22" s="38">
        <f t="shared" si="1"/>
        <v>1.377184226</v>
      </c>
      <c r="J22" s="38">
        <f t="shared" si="2"/>
        <v>167.3029946</v>
      </c>
      <c r="K22" s="36"/>
      <c r="L22" s="38">
        <f t="shared" si="3"/>
        <v>167.3029946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1">
        <v>45235.0</v>
      </c>
      <c r="F23" s="31" t="s">
        <v>38</v>
      </c>
      <c r="G23" s="32">
        <v>852.0638499339639</v>
      </c>
      <c r="H23" s="32">
        <v>25.0</v>
      </c>
      <c r="I23" s="33">
        <f t="shared" si="1"/>
        <v>7.072129954</v>
      </c>
      <c r="J23" s="33">
        <f t="shared" si="2"/>
        <v>884.1359799</v>
      </c>
      <c r="K23" s="30"/>
      <c r="L23" s="33">
        <f t="shared" si="3"/>
        <v>884.1359799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24.75" customHeight="1">
      <c r="A24" s="41">
        <v>18.0</v>
      </c>
      <c r="B24" s="34" t="s">
        <v>41</v>
      </c>
      <c r="C24" s="34" t="s">
        <v>91</v>
      </c>
      <c r="D24" s="30" t="s">
        <v>94</v>
      </c>
      <c r="E24" s="35">
        <v>45234.0</v>
      </c>
      <c r="F24" s="35" t="s">
        <v>34</v>
      </c>
      <c r="G24" s="32">
        <v>108.0072888583008</v>
      </c>
      <c r="H24" s="39">
        <v>20.0</v>
      </c>
      <c r="I24" s="32">
        <f t="shared" si="1"/>
        <v>0.8964604975</v>
      </c>
      <c r="J24" s="32">
        <f t="shared" si="2"/>
        <v>128.9037494</v>
      </c>
      <c r="K24" s="34"/>
      <c r="L24" s="32">
        <f t="shared" si="3"/>
        <v>128.9037494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1">
        <v>45235.0</v>
      </c>
      <c r="F25" s="31" t="s">
        <v>39</v>
      </c>
      <c r="G25" s="32">
        <v>227.72076159062058</v>
      </c>
      <c r="H25" s="39">
        <v>30.0</v>
      </c>
      <c r="I25" s="33">
        <f t="shared" si="1"/>
        <v>1.890082321</v>
      </c>
      <c r="J25" s="33">
        <f t="shared" si="2"/>
        <v>259.6108439</v>
      </c>
      <c r="K25" s="30"/>
      <c r="L25" s="33">
        <f t="shared" si="3"/>
        <v>259.6108439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4.75" customHeight="1">
      <c r="A26" s="41">
        <v>20.0</v>
      </c>
      <c r="B26" s="30" t="s">
        <v>96</v>
      </c>
      <c r="C26" s="30" t="s">
        <v>91</v>
      </c>
      <c r="D26" s="30" t="s">
        <v>94</v>
      </c>
      <c r="E26" s="31">
        <v>45240.0</v>
      </c>
      <c r="F26" s="31" t="s">
        <v>33</v>
      </c>
      <c r="G26" s="32">
        <v>77.53882252611251</v>
      </c>
      <c r="H26" s="39">
        <v>10.0</v>
      </c>
      <c r="I26" s="33">
        <f t="shared" si="1"/>
        <v>0.643572227</v>
      </c>
      <c r="J26" s="33">
        <f t="shared" si="2"/>
        <v>88.18239475</v>
      </c>
      <c r="K26" s="30"/>
      <c r="L26" s="33">
        <f t="shared" si="3"/>
        <v>88.18239475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4.75" customHeight="1">
      <c r="A27" s="41">
        <v>21.0</v>
      </c>
      <c r="B27" s="30" t="s">
        <v>97</v>
      </c>
      <c r="C27" s="30" t="s">
        <v>93</v>
      </c>
      <c r="D27" s="30" t="s">
        <v>94</v>
      </c>
      <c r="E27" s="31">
        <v>45242.0</v>
      </c>
      <c r="F27" s="31" t="s">
        <v>34</v>
      </c>
      <c r="G27" s="32">
        <v>40.546834347393066</v>
      </c>
      <c r="H27" s="39">
        <v>10.0</v>
      </c>
      <c r="I27" s="33">
        <f t="shared" si="1"/>
        <v>0.3365387251</v>
      </c>
      <c r="J27" s="33">
        <f t="shared" si="2"/>
        <v>50.88337307</v>
      </c>
      <c r="K27" s="30"/>
      <c r="L27" s="33">
        <f t="shared" si="3"/>
        <v>50.88337307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4.75" customHeight="1">
      <c r="A28" s="41">
        <v>22.0</v>
      </c>
      <c r="B28" s="34" t="s">
        <v>98</v>
      </c>
      <c r="C28" s="34" t="s">
        <v>93</v>
      </c>
      <c r="D28" s="30" t="s">
        <v>94</v>
      </c>
      <c r="E28" s="35">
        <v>45140.0</v>
      </c>
      <c r="F28" s="35" t="s">
        <v>38</v>
      </c>
      <c r="G28" s="32">
        <v>109.58040173923973</v>
      </c>
      <c r="H28" s="39"/>
      <c r="I28" s="32">
        <f t="shared" si="1"/>
        <v>0.9095173344</v>
      </c>
      <c r="J28" s="32">
        <f t="shared" si="2"/>
        <v>110.4899191</v>
      </c>
      <c r="K28" s="34"/>
      <c r="L28" s="32">
        <f t="shared" si="3"/>
        <v>110.4899191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24.75" customHeight="1">
      <c r="A29" s="41">
        <v>23.0</v>
      </c>
      <c r="B29" s="30" t="s">
        <v>61</v>
      </c>
      <c r="C29" s="30" t="s">
        <v>91</v>
      </c>
      <c r="D29" s="30" t="s">
        <v>94</v>
      </c>
      <c r="E29" s="31">
        <v>45235.0</v>
      </c>
      <c r="F29" s="31" t="s">
        <v>38</v>
      </c>
      <c r="G29" s="32">
        <v>129.01210889917132</v>
      </c>
      <c r="H29" s="39"/>
      <c r="I29" s="33">
        <f t="shared" si="1"/>
        <v>1.070800504</v>
      </c>
      <c r="J29" s="33">
        <f t="shared" si="2"/>
        <v>130.0829094</v>
      </c>
      <c r="K29" s="30"/>
      <c r="L29" s="33">
        <f t="shared" si="3"/>
        <v>130.0829094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24.75" customHeight="1">
      <c r="A30" s="41">
        <v>24.0</v>
      </c>
      <c r="B30" s="30" t="s">
        <v>63</v>
      </c>
      <c r="C30" s="30" t="s">
        <v>91</v>
      </c>
      <c r="D30" s="30" t="s">
        <v>94</v>
      </c>
      <c r="E30" s="31">
        <v>45238.0</v>
      </c>
      <c r="F30" s="31" t="s">
        <v>39</v>
      </c>
      <c r="G30" s="32">
        <v>305.45740267661915</v>
      </c>
      <c r="H30" s="39">
        <v>100.0</v>
      </c>
      <c r="I30" s="33">
        <f t="shared" si="1"/>
        <v>2.535296442</v>
      </c>
      <c r="J30" s="33">
        <f t="shared" si="2"/>
        <v>407.9926991</v>
      </c>
      <c r="K30" s="30"/>
      <c r="L30" s="33">
        <f t="shared" si="3"/>
        <v>407.9926991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24.75" customHeight="1">
      <c r="A31" s="41">
        <v>25.0</v>
      </c>
      <c r="B31" s="34" t="s">
        <v>64</v>
      </c>
      <c r="C31" s="30" t="s">
        <v>91</v>
      </c>
      <c r="D31" s="30" t="s">
        <v>94</v>
      </c>
      <c r="E31" s="31">
        <v>45201.0</v>
      </c>
      <c r="F31" s="31" t="s">
        <v>40</v>
      </c>
      <c r="G31" s="32">
        <v>417.89634466149334</v>
      </c>
      <c r="H31" s="39"/>
      <c r="I31" s="33">
        <f t="shared" si="1"/>
        <v>3.468539661</v>
      </c>
      <c r="J31" s="33">
        <f t="shared" si="2"/>
        <v>421.3648843</v>
      </c>
      <c r="K31" s="30"/>
      <c r="L31" s="33">
        <f t="shared" si="3"/>
        <v>421.3648843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24.75" customHeight="1">
      <c r="A32" s="41">
        <v>26.0</v>
      </c>
      <c r="B32" s="30" t="s">
        <v>65</v>
      </c>
      <c r="C32" s="30" t="s">
        <v>91</v>
      </c>
      <c r="D32" s="30" t="s">
        <v>94</v>
      </c>
      <c r="E32" s="31">
        <v>45059.0</v>
      </c>
      <c r="F32" s="31" t="s">
        <v>39</v>
      </c>
      <c r="G32" s="32">
        <v>20.84389283277102</v>
      </c>
      <c r="H32" s="39"/>
      <c r="I32" s="33">
        <f t="shared" si="1"/>
        <v>0.1730043105</v>
      </c>
      <c r="J32" s="33">
        <f t="shared" si="2"/>
        <v>21.01689714</v>
      </c>
      <c r="K32" s="30"/>
      <c r="L32" s="33">
        <f t="shared" si="3"/>
        <v>21.01689714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24.75" customHeight="1">
      <c r="A33" s="41">
        <v>27.0</v>
      </c>
      <c r="B33" s="30" t="s">
        <v>66</v>
      </c>
      <c r="C33" s="30" t="s">
        <v>91</v>
      </c>
      <c r="D33" s="30" t="s">
        <v>94</v>
      </c>
      <c r="E33" s="31">
        <v>45209.0</v>
      </c>
      <c r="F33" s="31" t="s">
        <v>33</v>
      </c>
      <c r="G33" s="32">
        <v>61.26583924915652</v>
      </c>
      <c r="H33" s="39"/>
      <c r="I33" s="33">
        <f t="shared" si="1"/>
        <v>0.5085064658</v>
      </c>
      <c r="J33" s="33">
        <f t="shared" si="2"/>
        <v>61.77434571</v>
      </c>
      <c r="K33" s="30"/>
      <c r="L33" s="33">
        <f t="shared" si="3"/>
        <v>61.77434571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24.75" customHeight="1">
      <c r="A34" s="41">
        <v>28.0</v>
      </c>
      <c r="B34" s="30" t="s">
        <v>99</v>
      </c>
      <c r="C34" s="30" t="s">
        <v>91</v>
      </c>
      <c r="D34" s="30" t="s">
        <v>94</v>
      </c>
      <c r="E34" s="31">
        <v>45085.0</v>
      </c>
      <c r="F34" s="31" t="s">
        <v>38</v>
      </c>
      <c r="G34" s="32">
        <v>205.0214483574</v>
      </c>
      <c r="H34" s="39"/>
      <c r="I34" s="33">
        <f t="shared" si="1"/>
        <v>1.701678021</v>
      </c>
      <c r="J34" s="33">
        <f t="shared" si="2"/>
        <v>206.7231264</v>
      </c>
      <c r="K34" s="30"/>
      <c r="L34" s="33">
        <f t="shared" si="3"/>
        <v>206.7231264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24.75" customHeight="1">
      <c r="A35" s="41">
        <v>29.0</v>
      </c>
      <c r="B35" s="30" t="s">
        <v>100</v>
      </c>
      <c r="C35" s="30" t="s">
        <v>93</v>
      </c>
      <c r="D35" s="30" t="s">
        <v>94</v>
      </c>
      <c r="E35" s="31">
        <v>45235.0</v>
      </c>
      <c r="F35" s="31" t="s">
        <v>39</v>
      </c>
      <c r="G35" s="32">
        <v>15.0415</v>
      </c>
      <c r="H35" s="32">
        <v>10.0</v>
      </c>
      <c r="I35" s="33">
        <f t="shared" si="1"/>
        <v>0.12484445</v>
      </c>
      <c r="J35" s="33">
        <f t="shared" si="2"/>
        <v>25.16634445</v>
      </c>
      <c r="K35" s="30"/>
      <c r="L35" s="33">
        <f t="shared" si="3"/>
        <v>25.16634445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24.75" customHeight="1">
      <c r="A36" s="41">
        <v>30.0</v>
      </c>
      <c r="B36" s="30" t="s">
        <v>101</v>
      </c>
      <c r="C36" s="30" t="s">
        <v>93</v>
      </c>
      <c r="D36" s="30" t="s">
        <v>94</v>
      </c>
      <c r="E36" s="31">
        <v>45235.0</v>
      </c>
      <c r="F36" s="31" t="s">
        <v>35</v>
      </c>
      <c r="G36" s="32">
        <v>100.415</v>
      </c>
      <c r="H36" s="32">
        <v>900.0</v>
      </c>
      <c r="I36" s="33">
        <f t="shared" si="1"/>
        <v>0.8334445</v>
      </c>
      <c r="J36" s="33">
        <f t="shared" si="2"/>
        <v>1001.248445</v>
      </c>
      <c r="K36" s="30"/>
      <c r="L36" s="33">
        <f t="shared" si="3"/>
        <v>1001.248445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24.75" customHeight="1">
      <c r="A37" s="41">
        <v>31.0</v>
      </c>
      <c r="B37" s="30" t="s">
        <v>102</v>
      </c>
      <c r="C37" s="30"/>
      <c r="D37" s="30" t="s">
        <v>94</v>
      </c>
      <c r="E37" s="31">
        <v>45235.0</v>
      </c>
      <c r="F37" s="31"/>
      <c r="G37" s="32">
        <v>5.0415</v>
      </c>
      <c r="H37" s="32">
        <v>5.0</v>
      </c>
      <c r="I37" s="33">
        <f t="shared" si="1"/>
        <v>0.04184445</v>
      </c>
      <c r="J37" s="33">
        <f t="shared" si="2"/>
        <v>10.08334445</v>
      </c>
      <c r="K37" s="30"/>
      <c r="L37" s="33">
        <f t="shared" si="3"/>
        <v>10.08334445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30.0" customHeight="1">
      <c r="A38" s="41">
        <v>32.0</v>
      </c>
      <c r="B38" s="30" t="s">
        <v>104</v>
      </c>
      <c r="C38" s="30"/>
      <c r="D38" s="30" t="s">
        <v>94</v>
      </c>
      <c r="E38" s="31">
        <v>45235.0</v>
      </c>
      <c r="F38" s="31"/>
      <c r="G38" s="32">
        <v>15.0</v>
      </c>
      <c r="H38" s="32">
        <v>15.0</v>
      </c>
      <c r="I38" s="33">
        <f t="shared" si="1"/>
        <v>0.1245</v>
      </c>
      <c r="J38" s="33">
        <f t="shared" si="2"/>
        <v>30.1245</v>
      </c>
      <c r="K38" s="30"/>
      <c r="L38" s="33">
        <f t="shared" si="3"/>
        <v>30.1245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30.0" customHeight="1">
      <c r="A39" s="41">
        <v>33.0</v>
      </c>
      <c r="B39" s="30" t="s">
        <v>105</v>
      </c>
      <c r="C39" s="30"/>
      <c r="D39" s="30" t="s">
        <v>94</v>
      </c>
      <c r="E39" s="31">
        <v>45233.0</v>
      </c>
      <c r="F39" s="31"/>
      <c r="G39" s="32">
        <v>100.0</v>
      </c>
      <c r="H39" s="32">
        <v>10.0</v>
      </c>
      <c r="I39" s="33">
        <f t="shared" si="1"/>
        <v>0.83</v>
      </c>
      <c r="J39" s="33">
        <f t="shared" si="2"/>
        <v>110.83</v>
      </c>
      <c r="K39" s="30"/>
      <c r="L39" s="33">
        <f t="shared" si="3"/>
        <v>110.83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30.0" customHeight="1">
      <c r="A40" s="41">
        <v>34.0</v>
      </c>
      <c r="B40" s="30" t="s">
        <v>106</v>
      </c>
      <c r="C40" s="30"/>
      <c r="D40" s="30" t="s">
        <v>94</v>
      </c>
      <c r="E40" s="31">
        <v>45234.0</v>
      </c>
      <c r="F40" s="31"/>
      <c r="G40" s="32">
        <v>10.0</v>
      </c>
      <c r="H40" s="32">
        <v>10.0</v>
      </c>
      <c r="I40" s="33">
        <f t="shared" si="1"/>
        <v>0.083</v>
      </c>
      <c r="J40" s="33">
        <f t="shared" si="2"/>
        <v>20.083</v>
      </c>
      <c r="K40" s="30"/>
      <c r="L40" s="33">
        <f t="shared" si="3"/>
        <v>20.083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30.0" customHeight="1">
      <c r="A41" s="41">
        <v>35.0</v>
      </c>
      <c r="B41" s="30" t="s">
        <v>107</v>
      </c>
      <c r="C41" s="30"/>
      <c r="D41" s="30" t="s">
        <v>94</v>
      </c>
      <c r="E41" s="31">
        <v>45234.0</v>
      </c>
      <c r="F41" s="31"/>
      <c r="G41" s="32">
        <v>20.0</v>
      </c>
      <c r="H41" s="32">
        <v>20.0</v>
      </c>
      <c r="I41" s="33">
        <f t="shared" si="1"/>
        <v>0.166</v>
      </c>
      <c r="J41" s="33">
        <f t="shared" si="2"/>
        <v>40.166</v>
      </c>
      <c r="K41" s="30"/>
      <c r="L41" s="33">
        <f t="shared" si="3"/>
        <v>40.166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30.0" customHeight="1">
      <c r="A42" s="41">
        <v>36.0</v>
      </c>
      <c r="B42" s="30" t="s">
        <v>108</v>
      </c>
      <c r="C42" s="30"/>
      <c r="D42" s="30" t="s">
        <v>94</v>
      </c>
      <c r="E42" s="31">
        <v>45233.0</v>
      </c>
      <c r="F42" s="31"/>
      <c r="G42" s="32">
        <v>10.0</v>
      </c>
      <c r="H42" s="32">
        <v>10.0</v>
      </c>
      <c r="I42" s="33">
        <f t="shared" si="1"/>
        <v>0.083</v>
      </c>
      <c r="J42" s="33">
        <f t="shared" si="2"/>
        <v>20.083</v>
      </c>
      <c r="K42" s="30"/>
      <c r="L42" s="33">
        <f t="shared" si="3"/>
        <v>20.083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30.0" customHeight="1">
      <c r="A43" s="41">
        <v>37.0</v>
      </c>
      <c r="B43" s="30" t="s">
        <v>109</v>
      </c>
      <c r="C43" s="30"/>
      <c r="D43" s="30" t="s">
        <v>94</v>
      </c>
      <c r="E43" s="31">
        <v>45232.0</v>
      </c>
      <c r="F43" s="31"/>
      <c r="G43" s="32">
        <v>25.0</v>
      </c>
      <c r="H43" s="32">
        <v>25.0</v>
      </c>
      <c r="I43" s="33">
        <f t="shared" si="1"/>
        <v>0.2075</v>
      </c>
      <c r="J43" s="33">
        <f t="shared" si="2"/>
        <v>50.2075</v>
      </c>
      <c r="K43" s="30"/>
      <c r="L43" s="33">
        <f t="shared" si="3"/>
        <v>50.2075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30.0" customHeight="1">
      <c r="A44" s="41">
        <v>38.0</v>
      </c>
      <c r="B44" s="30" t="s">
        <v>110</v>
      </c>
      <c r="C44" s="30"/>
      <c r="D44" s="30" t="s">
        <v>94</v>
      </c>
      <c r="E44" s="31">
        <v>45237.0</v>
      </c>
      <c r="F44" s="31"/>
      <c r="G44" s="32">
        <v>50.0</v>
      </c>
      <c r="H44" s="32">
        <v>50.0</v>
      </c>
      <c r="I44" s="33">
        <f t="shared" si="1"/>
        <v>0.415</v>
      </c>
      <c r="J44" s="33">
        <f t="shared" si="2"/>
        <v>100.415</v>
      </c>
      <c r="K44" s="30"/>
      <c r="L44" s="33">
        <f t="shared" si="3"/>
        <v>100.415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30.0" customHeight="1">
      <c r="A45" s="41">
        <v>39.0</v>
      </c>
      <c r="B45" s="30" t="s">
        <v>111</v>
      </c>
      <c r="C45" s="30"/>
      <c r="D45" s="30" t="s">
        <v>94</v>
      </c>
      <c r="E45" s="31">
        <v>45238.0</v>
      </c>
      <c r="F45" s="31"/>
      <c r="G45" s="32">
        <v>10.5</v>
      </c>
      <c r="H45" s="32">
        <v>10.0</v>
      </c>
      <c r="I45" s="33">
        <f t="shared" si="1"/>
        <v>0.08715</v>
      </c>
      <c r="J45" s="33">
        <f t="shared" si="2"/>
        <v>20.58715</v>
      </c>
      <c r="K45" s="30"/>
      <c r="L45" s="33">
        <f t="shared" si="3"/>
        <v>20.58715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30.0" customHeight="1">
      <c r="A46" s="41">
        <v>40.0</v>
      </c>
      <c r="B46" s="30" t="s">
        <v>112</v>
      </c>
      <c r="C46" s="30"/>
      <c r="D46" s="30" t="s">
        <v>94</v>
      </c>
      <c r="E46" s="31">
        <v>45245.0</v>
      </c>
      <c r="F46" s="31"/>
      <c r="G46" s="32">
        <v>10.0</v>
      </c>
      <c r="H46" s="32">
        <v>10.0</v>
      </c>
      <c r="I46" s="33">
        <f t="shared" si="1"/>
        <v>0.083</v>
      </c>
      <c r="J46" s="33">
        <f t="shared" si="2"/>
        <v>20.083</v>
      </c>
      <c r="K46" s="30"/>
      <c r="L46" s="33">
        <f t="shared" si="3"/>
        <v>20.083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11"/>
      <c r="B47" s="13"/>
      <c r="C47" s="13"/>
      <c r="D47" s="13"/>
      <c r="E47" s="14"/>
      <c r="F47" s="14"/>
      <c r="G47" s="13"/>
      <c r="H47" s="13"/>
      <c r="I47" s="16"/>
      <c r="J47" s="16"/>
      <c r="K47" s="13"/>
      <c r="L47" s="1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17"/>
      <c r="B48" s="13"/>
      <c r="C48" s="13"/>
      <c r="D48" s="13"/>
      <c r="E48" s="13"/>
      <c r="F48" s="13"/>
      <c r="G48" s="18">
        <f t="shared" ref="G48:L48" si="4">SUM(G7:G46)</f>
        <v>41340.79689</v>
      </c>
      <c r="H48" s="18">
        <f t="shared" si="4"/>
        <v>1765.83</v>
      </c>
      <c r="I48" s="18">
        <f t="shared" si="4"/>
        <v>343.1286142</v>
      </c>
      <c r="J48" s="18">
        <f t="shared" si="4"/>
        <v>43449.7555</v>
      </c>
      <c r="K48" s="18">
        <f t="shared" si="4"/>
        <v>0</v>
      </c>
      <c r="L48" s="18">
        <f t="shared" si="4"/>
        <v>43449.7555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2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9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29" t="s">
        <v>114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4.75" customHeight="1">
      <c r="A7" s="41">
        <v>1.0</v>
      </c>
      <c r="B7" s="30" t="s">
        <v>46</v>
      </c>
      <c r="C7" s="30" t="s">
        <v>91</v>
      </c>
      <c r="D7" s="30" t="s">
        <v>92</v>
      </c>
      <c r="E7" s="31">
        <v>45235.0</v>
      </c>
      <c r="F7" s="31"/>
      <c r="G7" s="32">
        <v>4147.068684969571</v>
      </c>
      <c r="H7" s="32">
        <v>22.87</v>
      </c>
      <c r="I7" s="33">
        <f t="shared" ref="I7:I46" si="1">G7*0.83%</f>
        <v>34.42067009</v>
      </c>
      <c r="J7" s="33">
        <f t="shared" ref="J7:J46" si="2">G7+H7+I7</f>
        <v>4204.359355</v>
      </c>
      <c r="K7" s="30"/>
      <c r="L7" s="33">
        <f t="shared" ref="L7:L46" si="3">J7-K7</f>
        <v>4204.359355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45240.0</v>
      </c>
      <c r="F8" s="31"/>
      <c r="G8" s="32">
        <v>6568.966990299278</v>
      </c>
      <c r="H8" s="32">
        <v>30.0</v>
      </c>
      <c r="I8" s="33">
        <f t="shared" si="1"/>
        <v>54.52242602</v>
      </c>
      <c r="J8" s="33">
        <f t="shared" si="2"/>
        <v>6653.489416</v>
      </c>
      <c r="K8" s="30"/>
      <c r="L8" s="33">
        <f t="shared" si="3"/>
        <v>6653.489416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45270.0</v>
      </c>
      <c r="F9" s="31"/>
      <c r="G9" s="32">
        <v>6412.456738457253</v>
      </c>
      <c r="H9" s="32">
        <v>50.0</v>
      </c>
      <c r="I9" s="33">
        <f t="shared" si="1"/>
        <v>53.22339093</v>
      </c>
      <c r="J9" s="33">
        <f t="shared" si="2"/>
        <v>6515.680129</v>
      </c>
      <c r="K9" s="30"/>
      <c r="L9" s="33">
        <f t="shared" si="3"/>
        <v>6515.680129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4.75" customHeight="1">
      <c r="A10" s="41">
        <v>4.0</v>
      </c>
      <c r="B10" s="30" t="s">
        <v>35</v>
      </c>
      <c r="C10" s="30" t="s">
        <v>93</v>
      </c>
      <c r="D10" s="30" t="s">
        <v>92</v>
      </c>
      <c r="E10" s="31">
        <v>45171.0</v>
      </c>
      <c r="F10" s="31"/>
      <c r="G10" s="32">
        <v>5718.273292955997</v>
      </c>
      <c r="H10" s="32"/>
      <c r="I10" s="33">
        <f t="shared" si="1"/>
        <v>47.46166833</v>
      </c>
      <c r="J10" s="33">
        <f t="shared" si="2"/>
        <v>5765.734961</v>
      </c>
      <c r="K10" s="30"/>
      <c r="L10" s="33">
        <f t="shared" si="3"/>
        <v>5765.734961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4.75" customHeight="1">
      <c r="A11" s="41">
        <v>5.0</v>
      </c>
      <c r="B11" s="30" t="s">
        <v>36</v>
      </c>
      <c r="C11" s="30" t="s">
        <v>91</v>
      </c>
      <c r="D11" s="30" t="s">
        <v>92</v>
      </c>
      <c r="E11" s="31">
        <v>45239.0</v>
      </c>
      <c r="F11" s="31"/>
      <c r="G11" s="32">
        <v>429.3831438710697</v>
      </c>
      <c r="H11" s="32"/>
      <c r="I11" s="33">
        <f t="shared" si="1"/>
        <v>3.563880094</v>
      </c>
      <c r="J11" s="33">
        <f t="shared" si="2"/>
        <v>432.947024</v>
      </c>
      <c r="K11" s="30"/>
      <c r="L11" s="33">
        <f t="shared" si="3"/>
        <v>432.947024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4.75" customHeight="1">
      <c r="A12" s="41">
        <v>6.0</v>
      </c>
      <c r="B12" s="30" t="s">
        <v>47</v>
      </c>
      <c r="C12" s="30" t="s">
        <v>91</v>
      </c>
      <c r="D12" s="30" t="s">
        <v>92</v>
      </c>
      <c r="E12" s="31">
        <v>45270.0</v>
      </c>
      <c r="F12" s="31"/>
      <c r="G12" s="32">
        <v>2417.755671192662</v>
      </c>
      <c r="H12" s="32">
        <v>5.0</v>
      </c>
      <c r="I12" s="33">
        <f t="shared" si="1"/>
        <v>20.06737207</v>
      </c>
      <c r="J12" s="33">
        <f t="shared" si="2"/>
        <v>2442.823043</v>
      </c>
      <c r="K12" s="30"/>
      <c r="L12" s="33">
        <f t="shared" si="3"/>
        <v>2442.823043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45245.0</v>
      </c>
      <c r="F13" s="31"/>
      <c r="G13" s="32">
        <v>6274.3342986037815</v>
      </c>
      <c r="H13" s="32">
        <v>43.96</v>
      </c>
      <c r="I13" s="33">
        <f t="shared" si="1"/>
        <v>52.07697468</v>
      </c>
      <c r="J13" s="33">
        <f t="shared" si="2"/>
        <v>6370.371273</v>
      </c>
      <c r="K13" s="30"/>
      <c r="L13" s="33">
        <f t="shared" si="3"/>
        <v>6370.371273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45265.0</v>
      </c>
      <c r="F14" s="31"/>
      <c r="G14" s="32">
        <v>5855.985842602107</v>
      </c>
      <c r="H14" s="32">
        <v>50.0</v>
      </c>
      <c r="I14" s="33">
        <f t="shared" si="1"/>
        <v>48.60468249</v>
      </c>
      <c r="J14" s="33">
        <f t="shared" si="2"/>
        <v>5954.590525</v>
      </c>
      <c r="K14" s="30"/>
      <c r="L14" s="33">
        <f t="shared" si="3"/>
        <v>5954.590525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4.75" customHeight="1">
      <c r="A15" s="41">
        <v>9.0</v>
      </c>
      <c r="B15" s="30" t="s">
        <v>49</v>
      </c>
      <c r="C15" s="30" t="s">
        <v>91</v>
      </c>
      <c r="D15" s="30" t="s">
        <v>94</v>
      </c>
      <c r="E15" s="31">
        <v>45266.0</v>
      </c>
      <c r="F15" s="31" t="s">
        <v>38</v>
      </c>
      <c r="G15" s="32">
        <v>51.909440397655146</v>
      </c>
      <c r="H15" s="32">
        <v>5.0</v>
      </c>
      <c r="I15" s="33">
        <f t="shared" si="1"/>
        <v>0.4308483553</v>
      </c>
      <c r="J15" s="33">
        <f t="shared" si="2"/>
        <v>57.34028875</v>
      </c>
      <c r="K15" s="30"/>
      <c r="L15" s="33">
        <f t="shared" si="3"/>
        <v>57.34028875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4.75" customHeight="1">
      <c r="A16" s="41">
        <v>10.0</v>
      </c>
      <c r="B16" s="30" t="s">
        <v>58</v>
      </c>
      <c r="C16" s="30" t="s">
        <v>93</v>
      </c>
      <c r="D16" s="30" t="s">
        <v>94</v>
      </c>
      <c r="E16" s="31">
        <v>45233.0</v>
      </c>
      <c r="F16" s="31" t="s">
        <v>39</v>
      </c>
      <c r="G16" s="32">
        <v>165.7741115631717</v>
      </c>
      <c r="H16" s="32"/>
      <c r="I16" s="33">
        <f t="shared" si="1"/>
        <v>1.375925126</v>
      </c>
      <c r="J16" s="33">
        <f t="shared" si="2"/>
        <v>167.1500367</v>
      </c>
      <c r="K16" s="30"/>
      <c r="L16" s="33">
        <f t="shared" si="3"/>
        <v>167.1500367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4.75" customHeight="1">
      <c r="A17" s="41">
        <v>11.0</v>
      </c>
      <c r="B17" s="30" t="s">
        <v>51</v>
      </c>
      <c r="C17" s="30" t="s">
        <v>91</v>
      </c>
      <c r="D17" s="30" t="s">
        <v>94</v>
      </c>
      <c r="E17" s="31">
        <v>45266.0</v>
      </c>
      <c r="F17" s="31" t="s">
        <v>34</v>
      </c>
      <c r="G17" s="32">
        <v>72.54807462888265</v>
      </c>
      <c r="H17" s="32">
        <v>10.0</v>
      </c>
      <c r="I17" s="33">
        <f t="shared" si="1"/>
        <v>0.6021490194</v>
      </c>
      <c r="J17" s="33">
        <f t="shared" si="2"/>
        <v>83.15022365</v>
      </c>
      <c r="K17" s="30"/>
      <c r="L17" s="33">
        <f t="shared" si="3"/>
        <v>83.15022365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4.75" customHeight="1">
      <c r="A18" s="4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32">
        <v>80.35060539064517</v>
      </c>
      <c r="H18" s="32"/>
      <c r="I18" s="33">
        <f t="shared" si="1"/>
        <v>0.6669100247</v>
      </c>
      <c r="J18" s="33">
        <f t="shared" si="2"/>
        <v>81.01751542</v>
      </c>
      <c r="K18" s="30"/>
      <c r="L18" s="33">
        <f t="shared" si="3"/>
        <v>81.01751542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4.75" customHeight="1">
      <c r="A19" s="41">
        <v>13.0</v>
      </c>
      <c r="B19" s="30" t="s">
        <v>72</v>
      </c>
      <c r="C19" s="30" t="s">
        <v>91</v>
      </c>
      <c r="D19" s="30" t="s">
        <v>94</v>
      </c>
      <c r="E19" s="31">
        <v>45240.0</v>
      </c>
      <c r="F19" s="31" t="s">
        <v>38</v>
      </c>
      <c r="G19" s="32">
        <v>144.06230156785958</v>
      </c>
      <c r="H19" s="32"/>
      <c r="I19" s="33">
        <f t="shared" si="1"/>
        <v>1.195717103</v>
      </c>
      <c r="J19" s="33">
        <f t="shared" si="2"/>
        <v>145.2580187</v>
      </c>
      <c r="K19" s="30"/>
      <c r="L19" s="33">
        <f t="shared" si="3"/>
        <v>145.2580187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7.75" customHeight="1">
      <c r="A20" s="41">
        <v>14.0</v>
      </c>
      <c r="B20" s="34" t="s">
        <v>54</v>
      </c>
      <c r="C20" s="34" t="s">
        <v>91</v>
      </c>
      <c r="D20" s="30" t="s">
        <v>94</v>
      </c>
      <c r="E20" s="35">
        <v>45264.0</v>
      </c>
      <c r="F20" s="35" t="s">
        <v>34</v>
      </c>
      <c r="G20" s="32">
        <v>629.8196315850198</v>
      </c>
      <c r="H20" s="32">
        <v>100.0</v>
      </c>
      <c r="I20" s="32">
        <f t="shared" si="1"/>
        <v>5.227502942</v>
      </c>
      <c r="J20" s="32">
        <f t="shared" si="2"/>
        <v>735.0471345</v>
      </c>
      <c r="K20" s="34"/>
      <c r="L20" s="32">
        <f t="shared" si="3"/>
        <v>735.0471345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4.75" customHeight="1">
      <c r="A21" s="41">
        <v>15.0</v>
      </c>
      <c r="B21" s="30" t="s">
        <v>55</v>
      </c>
      <c r="C21" s="30" t="s">
        <v>91</v>
      </c>
      <c r="D21" s="30" t="s">
        <v>94</v>
      </c>
      <c r="E21" s="31">
        <v>45201.0</v>
      </c>
      <c r="F21" s="31" t="s">
        <v>33</v>
      </c>
      <c r="G21" s="32">
        <v>93.52527473673588</v>
      </c>
      <c r="H21" s="32"/>
      <c r="I21" s="33">
        <f t="shared" si="1"/>
        <v>0.7762597803</v>
      </c>
      <c r="J21" s="33">
        <f t="shared" si="2"/>
        <v>94.30153452</v>
      </c>
      <c r="K21" s="30"/>
      <c r="L21" s="33">
        <f t="shared" si="3"/>
        <v>94.30153452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4.75" customHeight="1">
      <c r="A22" s="41">
        <v>16.0</v>
      </c>
      <c r="B22" s="36" t="s">
        <v>56</v>
      </c>
      <c r="C22" s="36" t="s">
        <v>91</v>
      </c>
      <c r="D22" s="36" t="s">
        <v>94</v>
      </c>
      <c r="E22" s="37">
        <v>45170.0</v>
      </c>
      <c r="F22" s="37" t="s">
        <v>33</v>
      </c>
      <c r="G22" s="38">
        <v>167.30299455488057</v>
      </c>
      <c r="H22" s="38"/>
      <c r="I22" s="38">
        <f t="shared" si="1"/>
        <v>1.388614855</v>
      </c>
      <c r="J22" s="38">
        <f t="shared" si="2"/>
        <v>168.6916094</v>
      </c>
      <c r="K22" s="36"/>
      <c r="L22" s="38">
        <f t="shared" si="3"/>
        <v>168.6916094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1">
        <v>45263.0</v>
      </c>
      <c r="F23" s="31" t="s">
        <v>38</v>
      </c>
      <c r="G23" s="32">
        <v>884.1359798884158</v>
      </c>
      <c r="H23" s="32">
        <v>25.0</v>
      </c>
      <c r="I23" s="33">
        <f t="shared" si="1"/>
        <v>7.338328633</v>
      </c>
      <c r="J23" s="33">
        <f t="shared" si="2"/>
        <v>916.4743085</v>
      </c>
      <c r="K23" s="30"/>
      <c r="L23" s="33">
        <f t="shared" si="3"/>
        <v>916.4743085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24.75" customHeight="1">
      <c r="A24" s="41">
        <v>18.0</v>
      </c>
      <c r="B24" s="34" t="s">
        <v>41</v>
      </c>
      <c r="C24" s="34" t="s">
        <v>91</v>
      </c>
      <c r="D24" s="30" t="s">
        <v>94</v>
      </c>
      <c r="E24" s="35">
        <v>45263.0</v>
      </c>
      <c r="F24" s="35" t="s">
        <v>34</v>
      </c>
      <c r="G24" s="32">
        <v>128.9037493558247</v>
      </c>
      <c r="H24" s="39">
        <v>15.0</v>
      </c>
      <c r="I24" s="32">
        <f t="shared" si="1"/>
        <v>1.06990112</v>
      </c>
      <c r="J24" s="32">
        <f t="shared" si="2"/>
        <v>144.9736505</v>
      </c>
      <c r="K24" s="34"/>
      <c r="L24" s="32">
        <f t="shared" si="3"/>
        <v>144.9736505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1">
        <v>45235.0</v>
      </c>
      <c r="F25" s="31" t="s">
        <v>39</v>
      </c>
      <c r="G25" s="32">
        <v>259.6108439118227</v>
      </c>
      <c r="H25" s="39">
        <v>40.0</v>
      </c>
      <c r="I25" s="33">
        <f t="shared" si="1"/>
        <v>2.154770004</v>
      </c>
      <c r="J25" s="33">
        <f t="shared" si="2"/>
        <v>301.7656139</v>
      </c>
      <c r="K25" s="30"/>
      <c r="L25" s="33">
        <f t="shared" si="3"/>
        <v>301.7656139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4.75" customHeight="1">
      <c r="A26" s="41">
        <v>20.0</v>
      </c>
      <c r="B26" s="30" t="s">
        <v>96</v>
      </c>
      <c r="C26" s="30" t="s">
        <v>91</v>
      </c>
      <c r="D26" s="30" t="s">
        <v>94</v>
      </c>
      <c r="E26" s="31">
        <v>45240.0</v>
      </c>
      <c r="F26" s="31" t="s">
        <v>33</v>
      </c>
      <c r="G26" s="32">
        <v>88.18239475307925</v>
      </c>
      <c r="H26" s="39"/>
      <c r="I26" s="33">
        <f t="shared" si="1"/>
        <v>0.7319138765</v>
      </c>
      <c r="J26" s="33">
        <f t="shared" si="2"/>
        <v>88.91430863</v>
      </c>
      <c r="K26" s="30"/>
      <c r="L26" s="33">
        <f t="shared" si="3"/>
        <v>88.91430863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4.75" customHeight="1">
      <c r="A27" s="41">
        <v>21.0</v>
      </c>
      <c r="B27" s="30" t="s">
        <v>97</v>
      </c>
      <c r="C27" s="30" t="s">
        <v>93</v>
      </c>
      <c r="D27" s="30" t="s">
        <v>94</v>
      </c>
      <c r="E27" s="31">
        <v>45264.0</v>
      </c>
      <c r="F27" s="31" t="s">
        <v>34</v>
      </c>
      <c r="G27" s="32">
        <v>50.88337307247643</v>
      </c>
      <c r="H27" s="39">
        <v>5.0</v>
      </c>
      <c r="I27" s="33">
        <f t="shared" si="1"/>
        <v>0.4223319965</v>
      </c>
      <c r="J27" s="33">
        <f t="shared" si="2"/>
        <v>56.30570507</v>
      </c>
      <c r="K27" s="30"/>
      <c r="L27" s="33">
        <f t="shared" si="3"/>
        <v>56.30570507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4.75" customHeight="1">
      <c r="A28" s="41">
        <v>22.0</v>
      </c>
      <c r="B28" s="34" t="s">
        <v>98</v>
      </c>
      <c r="C28" s="34" t="s">
        <v>93</v>
      </c>
      <c r="D28" s="30" t="s">
        <v>94</v>
      </c>
      <c r="E28" s="35">
        <v>45140.0</v>
      </c>
      <c r="F28" s="35" t="s">
        <v>38</v>
      </c>
      <c r="G28" s="32">
        <v>110.48991907367542</v>
      </c>
      <c r="H28" s="39"/>
      <c r="I28" s="32">
        <f t="shared" si="1"/>
        <v>0.9170663283</v>
      </c>
      <c r="J28" s="32">
        <f t="shared" si="2"/>
        <v>111.4069854</v>
      </c>
      <c r="K28" s="34"/>
      <c r="L28" s="32">
        <f t="shared" si="3"/>
        <v>111.4069854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24.75" customHeight="1">
      <c r="A29" s="41">
        <v>23.0</v>
      </c>
      <c r="B29" s="30" t="s">
        <v>61</v>
      </c>
      <c r="C29" s="30" t="s">
        <v>91</v>
      </c>
      <c r="D29" s="30" t="s">
        <v>94</v>
      </c>
      <c r="E29" s="31">
        <v>45235.0</v>
      </c>
      <c r="F29" s="31" t="s">
        <v>38</v>
      </c>
      <c r="G29" s="32">
        <v>130.08290940303445</v>
      </c>
      <c r="H29" s="39"/>
      <c r="I29" s="33">
        <f t="shared" si="1"/>
        <v>1.079688148</v>
      </c>
      <c r="J29" s="33">
        <f t="shared" si="2"/>
        <v>131.1625976</v>
      </c>
      <c r="K29" s="30"/>
      <c r="L29" s="33">
        <f t="shared" si="3"/>
        <v>131.1625976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24.75" customHeight="1">
      <c r="A30" s="41">
        <v>24.0</v>
      </c>
      <c r="B30" s="30" t="s">
        <v>63</v>
      </c>
      <c r="C30" s="30" t="s">
        <v>91</v>
      </c>
      <c r="D30" s="30" t="s">
        <v>94</v>
      </c>
      <c r="E30" s="31">
        <v>45238.0</v>
      </c>
      <c r="F30" s="31" t="s">
        <v>39</v>
      </c>
      <c r="G30" s="32">
        <v>407.9926991188351</v>
      </c>
      <c r="H30" s="39"/>
      <c r="I30" s="33">
        <f t="shared" si="1"/>
        <v>3.386339403</v>
      </c>
      <c r="J30" s="33">
        <f t="shared" si="2"/>
        <v>411.3790385</v>
      </c>
      <c r="K30" s="30"/>
      <c r="L30" s="33">
        <f t="shared" si="3"/>
        <v>411.3790385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24.75" customHeight="1">
      <c r="A31" s="41">
        <v>25.0</v>
      </c>
      <c r="B31" s="34" t="s">
        <v>64</v>
      </c>
      <c r="C31" s="30" t="s">
        <v>91</v>
      </c>
      <c r="D31" s="30" t="s">
        <v>94</v>
      </c>
      <c r="E31" s="31">
        <v>45201.0</v>
      </c>
      <c r="F31" s="31" t="s">
        <v>40</v>
      </c>
      <c r="G31" s="32">
        <v>421.36488432218374</v>
      </c>
      <c r="H31" s="39"/>
      <c r="I31" s="33">
        <f t="shared" si="1"/>
        <v>3.49732854</v>
      </c>
      <c r="J31" s="33">
        <f t="shared" si="2"/>
        <v>424.8622129</v>
      </c>
      <c r="K31" s="30"/>
      <c r="L31" s="33">
        <f t="shared" si="3"/>
        <v>424.8622129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24.75" customHeight="1">
      <c r="A32" s="41">
        <v>26.0</v>
      </c>
      <c r="B32" s="30" t="s">
        <v>65</v>
      </c>
      <c r="C32" s="30" t="s">
        <v>91</v>
      </c>
      <c r="D32" s="30" t="s">
        <v>94</v>
      </c>
      <c r="E32" s="31">
        <v>45059.0</v>
      </c>
      <c r="F32" s="31" t="s">
        <v>39</v>
      </c>
      <c r="G32" s="32">
        <v>21.016897143283018</v>
      </c>
      <c r="H32" s="39"/>
      <c r="I32" s="33">
        <f t="shared" si="1"/>
        <v>0.1744402463</v>
      </c>
      <c r="J32" s="33">
        <f t="shared" si="2"/>
        <v>21.19133739</v>
      </c>
      <c r="K32" s="30"/>
      <c r="L32" s="33">
        <f t="shared" si="3"/>
        <v>21.19133739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24.75" customHeight="1">
      <c r="A33" s="41">
        <v>27.0</v>
      </c>
      <c r="B33" s="30" t="s">
        <v>66</v>
      </c>
      <c r="C33" s="30" t="s">
        <v>91</v>
      </c>
      <c r="D33" s="30" t="s">
        <v>94</v>
      </c>
      <c r="E33" s="31">
        <v>45209.0</v>
      </c>
      <c r="F33" s="31" t="s">
        <v>33</v>
      </c>
      <c r="G33" s="32">
        <v>61.77434571492452</v>
      </c>
      <c r="H33" s="39"/>
      <c r="I33" s="33">
        <f t="shared" si="1"/>
        <v>0.5127270694</v>
      </c>
      <c r="J33" s="33">
        <f t="shared" si="2"/>
        <v>62.28707278</v>
      </c>
      <c r="K33" s="30"/>
      <c r="L33" s="33">
        <f t="shared" si="3"/>
        <v>62.28707278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24.75" customHeight="1">
      <c r="A34" s="41">
        <v>28.0</v>
      </c>
      <c r="B34" s="30" t="s">
        <v>99</v>
      </c>
      <c r="C34" s="30" t="s">
        <v>91</v>
      </c>
      <c r="D34" s="30" t="s">
        <v>94</v>
      </c>
      <c r="E34" s="31">
        <v>45085.0</v>
      </c>
      <c r="F34" s="31" t="s">
        <v>38</v>
      </c>
      <c r="G34" s="32">
        <v>206.72312637876644</v>
      </c>
      <c r="H34" s="39"/>
      <c r="I34" s="33">
        <f t="shared" si="1"/>
        <v>1.715801949</v>
      </c>
      <c r="J34" s="33">
        <f t="shared" si="2"/>
        <v>208.4389283</v>
      </c>
      <c r="K34" s="30"/>
      <c r="L34" s="33">
        <f t="shared" si="3"/>
        <v>208.4389283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24.75" customHeight="1">
      <c r="A35" s="41">
        <v>29.0</v>
      </c>
      <c r="B35" s="30" t="s">
        <v>100</v>
      </c>
      <c r="C35" s="30" t="s">
        <v>93</v>
      </c>
      <c r="D35" s="30" t="s">
        <v>94</v>
      </c>
      <c r="E35" s="31">
        <v>45235.0</v>
      </c>
      <c r="F35" s="31" t="s">
        <v>39</v>
      </c>
      <c r="G35" s="32">
        <v>25.16634445</v>
      </c>
      <c r="H35" s="32"/>
      <c r="I35" s="33">
        <f t="shared" si="1"/>
        <v>0.2088806589</v>
      </c>
      <c r="J35" s="33">
        <f t="shared" si="2"/>
        <v>25.37522511</v>
      </c>
      <c r="K35" s="30"/>
      <c r="L35" s="33">
        <f t="shared" si="3"/>
        <v>25.37522511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24.75" customHeight="1">
      <c r="A36" s="41">
        <v>30.0</v>
      </c>
      <c r="B36" s="30" t="s">
        <v>101</v>
      </c>
      <c r="C36" s="30" t="s">
        <v>93</v>
      </c>
      <c r="D36" s="30" t="s">
        <v>94</v>
      </c>
      <c r="E36" s="31">
        <v>45235.0</v>
      </c>
      <c r="F36" s="31" t="s">
        <v>35</v>
      </c>
      <c r="G36" s="32">
        <v>1001.2484445</v>
      </c>
      <c r="H36" s="32"/>
      <c r="I36" s="33">
        <f t="shared" si="1"/>
        <v>8.310362089</v>
      </c>
      <c r="J36" s="33">
        <f t="shared" si="2"/>
        <v>1009.558807</v>
      </c>
      <c r="K36" s="30"/>
      <c r="L36" s="33">
        <f t="shared" si="3"/>
        <v>1009.558807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24.75" customHeight="1">
      <c r="A37" s="41">
        <v>31.0</v>
      </c>
      <c r="B37" s="30" t="s">
        <v>102</v>
      </c>
      <c r="C37" s="30"/>
      <c r="D37" s="30" t="s">
        <v>94</v>
      </c>
      <c r="E37" s="31">
        <v>45638.0</v>
      </c>
      <c r="F37" s="31"/>
      <c r="G37" s="32">
        <v>10.083344449999998</v>
      </c>
      <c r="H37" s="32">
        <v>5.0</v>
      </c>
      <c r="I37" s="33">
        <f t="shared" si="1"/>
        <v>0.08369175894</v>
      </c>
      <c r="J37" s="33">
        <f t="shared" si="2"/>
        <v>15.16703621</v>
      </c>
      <c r="K37" s="30"/>
      <c r="L37" s="33">
        <f t="shared" si="3"/>
        <v>15.16703621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30.0" customHeight="1">
      <c r="A38" s="41">
        <v>32.0</v>
      </c>
      <c r="B38" s="30" t="s">
        <v>104</v>
      </c>
      <c r="C38" s="30"/>
      <c r="D38" s="30" t="s">
        <v>94</v>
      </c>
      <c r="E38" s="31">
        <v>45265.0</v>
      </c>
      <c r="F38" s="31"/>
      <c r="G38" s="32">
        <v>30.1245</v>
      </c>
      <c r="H38" s="32">
        <v>15.0</v>
      </c>
      <c r="I38" s="33">
        <f t="shared" si="1"/>
        <v>0.25003335</v>
      </c>
      <c r="J38" s="33">
        <f t="shared" si="2"/>
        <v>45.37453335</v>
      </c>
      <c r="K38" s="30"/>
      <c r="L38" s="33">
        <f t="shared" si="3"/>
        <v>45.37453335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30.0" customHeight="1">
      <c r="A39" s="41">
        <v>33.0</v>
      </c>
      <c r="B39" s="30" t="s">
        <v>105</v>
      </c>
      <c r="C39" s="30"/>
      <c r="D39" s="30" t="s">
        <v>94</v>
      </c>
      <c r="E39" s="31">
        <v>45264.0</v>
      </c>
      <c r="F39" s="31"/>
      <c r="G39" s="32">
        <v>110.83</v>
      </c>
      <c r="H39" s="32">
        <v>25.0</v>
      </c>
      <c r="I39" s="33">
        <f t="shared" si="1"/>
        <v>0.919889</v>
      </c>
      <c r="J39" s="33">
        <f t="shared" si="2"/>
        <v>136.749889</v>
      </c>
      <c r="K39" s="30"/>
      <c r="L39" s="33">
        <f t="shared" si="3"/>
        <v>136.749889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30.0" customHeight="1">
      <c r="A40" s="41">
        <v>34.0</v>
      </c>
      <c r="B40" s="30" t="s">
        <v>106</v>
      </c>
      <c r="C40" s="30"/>
      <c r="D40" s="30" t="s">
        <v>94</v>
      </c>
      <c r="E40" s="31">
        <v>45264.0</v>
      </c>
      <c r="F40" s="31"/>
      <c r="G40" s="32">
        <v>20.083</v>
      </c>
      <c r="H40" s="32">
        <v>10.0</v>
      </c>
      <c r="I40" s="33">
        <f t="shared" si="1"/>
        <v>0.1666889</v>
      </c>
      <c r="J40" s="33">
        <f t="shared" si="2"/>
        <v>30.2496889</v>
      </c>
      <c r="K40" s="30"/>
      <c r="L40" s="33">
        <f t="shared" si="3"/>
        <v>30.2496889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30.0" customHeight="1">
      <c r="A41" s="41">
        <v>35.0</v>
      </c>
      <c r="B41" s="30" t="s">
        <v>107</v>
      </c>
      <c r="C41" s="30"/>
      <c r="D41" s="30" t="s">
        <v>94</v>
      </c>
      <c r="E41" s="31">
        <v>45266.0</v>
      </c>
      <c r="F41" s="31"/>
      <c r="G41" s="32">
        <v>40.166</v>
      </c>
      <c r="H41" s="32">
        <v>20.0</v>
      </c>
      <c r="I41" s="33">
        <f t="shared" si="1"/>
        <v>0.3333778</v>
      </c>
      <c r="J41" s="33">
        <f t="shared" si="2"/>
        <v>60.4993778</v>
      </c>
      <c r="K41" s="30"/>
      <c r="L41" s="33">
        <f t="shared" si="3"/>
        <v>60.4993778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30.0" customHeight="1">
      <c r="A42" s="41">
        <v>36.0</v>
      </c>
      <c r="B42" s="30" t="s">
        <v>108</v>
      </c>
      <c r="C42" s="30"/>
      <c r="D42" s="30" t="s">
        <v>94</v>
      </c>
      <c r="E42" s="31">
        <v>45266.0</v>
      </c>
      <c r="F42" s="31"/>
      <c r="G42" s="32">
        <v>20.083</v>
      </c>
      <c r="H42" s="32">
        <v>10.0</v>
      </c>
      <c r="I42" s="33">
        <f t="shared" si="1"/>
        <v>0.1666889</v>
      </c>
      <c r="J42" s="33">
        <f t="shared" si="2"/>
        <v>30.2496889</v>
      </c>
      <c r="K42" s="30"/>
      <c r="L42" s="33">
        <f t="shared" si="3"/>
        <v>30.2496889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30.0" customHeight="1">
      <c r="A43" s="41">
        <v>37.0</v>
      </c>
      <c r="B43" s="30" t="s">
        <v>109</v>
      </c>
      <c r="C43" s="30"/>
      <c r="D43" s="30" t="s">
        <v>94</v>
      </c>
      <c r="E43" s="31">
        <v>45264.0</v>
      </c>
      <c r="F43" s="31"/>
      <c r="G43" s="32">
        <v>50.2075</v>
      </c>
      <c r="H43" s="32">
        <v>25.0</v>
      </c>
      <c r="I43" s="33">
        <f t="shared" si="1"/>
        <v>0.41672225</v>
      </c>
      <c r="J43" s="33">
        <f t="shared" si="2"/>
        <v>75.62422225</v>
      </c>
      <c r="K43" s="30"/>
      <c r="L43" s="33">
        <f t="shared" si="3"/>
        <v>75.62422225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30.0" customHeight="1">
      <c r="A44" s="41">
        <v>38.0</v>
      </c>
      <c r="B44" s="30" t="s">
        <v>110</v>
      </c>
      <c r="C44" s="30"/>
      <c r="D44" s="30" t="s">
        <v>94</v>
      </c>
      <c r="E44" s="31">
        <v>45237.0</v>
      </c>
      <c r="F44" s="31"/>
      <c r="G44" s="32">
        <v>100.415</v>
      </c>
      <c r="H44" s="32"/>
      <c r="I44" s="33">
        <f t="shared" si="1"/>
        <v>0.8334445</v>
      </c>
      <c r="J44" s="33">
        <f t="shared" si="2"/>
        <v>101.2484445</v>
      </c>
      <c r="K44" s="30"/>
      <c r="L44" s="33">
        <f t="shared" si="3"/>
        <v>101.2484445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30.0" customHeight="1">
      <c r="A45" s="41">
        <v>39.0</v>
      </c>
      <c r="B45" s="30" t="s">
        <v>111</v>
      </c>
      <c r="C45" s="30"/>
      <c r="D45" s="30" t="s">
        <v>94</v>
      </c>
      <c r="E45" s="31">
        <v>45270.0</v>
      </c>
      <c r="F45" s="31"/>
      <c r="G45" s="32">
        <v>20.58715</v>
      </c>
      <c r="H45" s="32">
        <v>10.0</v>
      </c>
      <c r="I45" s="33">
        <f t="shared" si="1"/>
        <v>0.170873345</v>
      </c>
      <c r="J45" s="33">
        <f t="shared" si="2"/>
        <v>30.75802335</v>
      </c>
      <c r="K45" s="30"/>
      <c r="L45" s="33">
        <f t="shared" si="3"/>
        <v>30.75802335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30.0" customHeight="1">
      <c r="A46" s="41">
        <v>40.0</v>
      </c>
      <c r="B46" s="30" t="s">
        <v>112</v>
      </c>
      <c r="C46" s="30"/>
      <c r="D46" s="30" t="s">
        <v>94</v>
      </c>
      <c r="E46" s="31">
        <v>45245.0</v>
      </c>
      <c r="F46" s="31"/>
      <c r="G46" s="32">
        <v>20.083</v>
      </c>
      <c r="H46" s="32"/>
      <c r="I46" s="33">
        <f t="shared" si="1"/>
        <v>0.1666889</v>
      </c>
      <c r="J46" s="33">
        <f t="shared" si="2"/>
        <v>20.2496889</v>
      </c>
      <c r="K46" s="30"/>
      <c r="L46" s="33">
        <f t="shared" si="3"/>
        <v>20.2496889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11"/>
      <c r="B47" s="13"/>
      <c r="C47" s="13"/>
      <c r="D47" s="13"/>
      <c r="E47" s="14"/>
      <c r="F47" s="14"/>
      <c r="G47" s="13"/>
      <c r="H47" s="13"/>
      <c r="I47" s="16"/>
      <c r="J47" s="16"/>
      <c r="K47" s="13"/>
      <c r="L47" s="1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17"/>
      <c r="B48" s="13"/>
      <c r="C48" s="13"/>
      <c r="D48" s="13"/>
      <c r="E48" s="13"/>
      <c r="F48" s="13"/>
      <c r="G48" s="18">
        <f t="shared" ref="G48:L48" si="4">SUM(G7:G46)</f>
        <v>43449.7555</v>
      </c>
      <c r="H48" s="18">
        <f t="shared" si="4"/>
        <v>521.83</v>
      </c>
      <c r="I48" s="18">
        <f t="shared" si="4"/>
        <v>360.6329707</v>
      </c>
      <c r="J48" s="18">
        <f t="shared" si="4"/>
        <v>44332.21847</v>
      </c>
      <c r="K48" s="18">
        <f t="shared" si="4"/>
        <v>0</v>
      </c>
      <c r="L48" s="18">
        <f t="shared" si="4"/>
        <v>44332.21847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2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10.29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115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41">
        <v>1.0</v>
      </c>
      <c r="B7" s="30" t="s">
        <v>46</v>
      </c>
      <c r="C7" s="30" t="s">
        <v>91</v>
      </c>
      <c r="D7" s="30" t="s">
        <v>92</v>
      </c>
      <c r="E7" s="31">
        <v>45235.0</v>
      </c>
      <c r="F7" s="31"/>
      <c r="G7" s="32">
        <v>4204.3593550548185</v>
      </c>
      <c r="H7" s="32">
        <v>23.6</v>
      </c>
      <c r="I7" s="33">
        <f t="shared" ref="I7:I45" si="1">G7*0.83%</f>
        <v>34.89618265</v>
      </c>
      <c r="J7" s="33">
        <f t="shared" ref="J7:J48" si="2">G7+H7+I7</f>
        <v>4262.855538</v>
      </c>
      <c r="K7" s="30"/>
      <c r="L7" s="33">
        <f t="shared" ref="L7:L48" si="3">J7-K7</f>
        <v>4262.855538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45240.0</v>
      </c>
      <c r="F8" s="31"/>
      <c r="G8" s="32">
        <v>6653.489416318762</v>
      </c>
      <c r="H8" s="32">
        <v>30.0</v>
      </c>
      <c r="I8" s="33">
        <f t="shared" si="1"/>
        <v>55.22396216</v>
      </c>
      <c r="J8" s="33">
        <f t="shared" si="2"/>
        <v>6738.713378</v>
      </c>
      <c r="K8" s="30"/>
      <c r="L8" s="33">
        <f t="shared" si="3"/>
        <v>6738.713378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45299.0</v>
      </c>
      <c r="F9" s="31"/>
      <c r="G9" s="32">
        <v>6515.680129386448</v>
      </c>
      <c r="H9" s="32">
        <v>50.0</v>
      </c>
      <c r="I9" s="33">
        <f t="shared" si="1"/>
        <v>54.08014507</v>
      </c>
      <c r="J9" s="33">
        <f t="shared" si="2"/>
        <v>6619.760274</v>
      </c>
      <c r="K9" s="30"/>
      <c r="L9" s="33">
        <f t="shared" si="3"/>
        <v>6619.760274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41">
        <v>4.0</v>
      </c>
      <c r="B10" s="42" t="s">
        <v>35</v>
      </c>
      <c r="C10" s="42" t="s">
        <v>93</v>
      </c>
      <c r="D10" s="42" t="s">
        <v>92</v>
      </c>
      <c r="E10" s="43">
        <v>45171.0</v>
      </c>
      <c r="F10" s="43"/>
      <c r="G10" s="44">
        <v>5765.734961287531</v>
      </c>
      <c r="H10" s="44"/>
      <c r="I10" s="44">
        <f t="shared" si="1"/>
        <v>47.85560018</v>
      </c>
      <c r="J10" s="44">
        <f t="shared" si="2"/>
        <v>5813.590561</v>
      </c>
      <c r="K10" s="45">
        <v>2909.93</v>
      </c>
      <c r="L10" s="33">
        <f t="shared" si="3"/>
        <v>2903.660561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5.0</v>
      </c>
      <c r="B11" s="30" t="s">
        <v>36</v>
      </c>
      <c r="C11" s="30" t="s">
        <v>91</v>
      </c>
      <c r="D11" s="30" t="s">
        <v>92</v>
      </c>
      <c r="E11" s="31">
        <v>45239.0</v>
      </c>
      <c r="F11" s="31"/>
      <c r="G11" s="32">
        <v>432.9470239651996</v>
      </c>
      <c r="H11" s="32"/>
      <c r="I11" s="33">
        <f t="shared" si="1"/>
        <v>3.593460299</v>
      </c>
      <c r="J11" s="33">
        <f t="shared" si="2"/>
        <v>436.5404843</v>
      </c>
      <c r="K11" s="30"/>
      <c r="L11" s="33">
        <f t="shared" si="3"/>
        <v>436.5404843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6.0</v>
      </c>
      <c r="B12" s="47" t="s">
        <v>47</v>
      </c>
      <c r="C12" s="47" t="s">
        <v>91</v>
      </c>
      <c r="D12" s="47" t="s">
        <v>92</v>
      </c>
      <c r="E12" s="48">
        <v>45270.0</v>
      </c>
      <c r="F12" s="48"/>
      <c r="G12" s="49">
        <v>2442.823043263561</v>
      </c>
      <c r="H12" s="49">
        <v>5.0</v>
      </c>
      <c r="I12" s="49">
        <f t="shared" si="1"/>
        <v>20.27543126</v>
      </c>
      <c r="J12" s="49">
        <f t="shared" si="2"/>
        <v>2468.098475</v>
      </c>
      <c r="K12" s="50"/>
      <c r="L12" s="49">
        <f t="shared" si="3"/>
        <v>2468.098475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45245.0</v>
      </c>
      <c r="F13" s="31"/>
      <c r="G13" s="32">
        <v>6370.371273282193</v>
      </c>
      <c r="H13" s="32">
        <v>47.28</v>
      </c>
      <c r="I13" s="33">
        <f t="shared" si="1"/>
        <v>52.87408157</v>
      </c>
      <c r="J13" s="33">
        <f t="shared" si="2"/>
        <v>6470.525355</v>
      </c>
      <c r="K13" s="30"/>
      <c r="L13" s="33">
        <f t="shared" si="3"/>
        <v>6470.525355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45296.0</v>
      </c>
      <c r="F14" s="31"/>
      <c r="G14" s="32">
        <v>5954.590525095705</v>
      </c>
      <c r="H14" s="32">
        <v>50.0</v>
      </c>
      <c r="I14" s="33">
        <f t="shared" si="1"/>
        <v>49.42310136</v>
      </c>
      <c r="J14" s="33">
        <f t="shared" si="2"/>
        <v>6054.013626</v>
      </c>
      <c r="K14" s="30"/>
      <c r="L14" s="33">
        <f t="shared" si="3"/>
        <v>6054.013626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41">
        <v>9.0</v>
      </c>
      <c r="B15" s="30" t="s">
        <v>49</v>
      </c>
      <c r="C15" s="30" t="s">
        <v>91</v>
      </c>
      <c r="D15" s="30" t="s">
        <v>94</v>
      </c>
      <c r="E15" s="31">
        <v>45299.0</v>
      </c>
      <c r="F15" s="31" t="s">
        <v>38</v>
      </c>
      <c r="G15" s="32">
        <v>57.340288752955686</v>
      </c>
      <c r="H15" s="32">
        <v>5.0</v>
      </c>
      <c r="I15" s="33">
        <f t="shared" si="1"/>
        <v>0.4759243966</v>
      </c>
      <c r="J15" s="33">
        <f t="shared" si="2"/>
        <v>62.81621315</v>
      </c>
      <c r="K15" s="30"/>
      <c r="L15" s="33">
        <f t="shared" si="3"/>
        <v>62.81621315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10.0</v>
      </c>
      <c r="B16" s="30" t="s">
        <v>58</v>
      </c>
      <c r="C16" s="30" t="s">
        <v>93</v>
      </c>
      <c r="D16" s="30" t="s">
        <v>94</v>
      </c>
      <c r="E16" s="31">
        <v>45294.0</v>
      </c>
      <c r="F16" s="31" t="s">
        <v>39</v>
      </c>
      <c r="G16" s="32">
        <v>167.15003668914602</v>
      </c>
      <c r="H16" s="32">
        <v>20.0</v>
      </c>
      <c r="I16" s="33">
        <f t="shared" si="1"/>
        <v>1.387345305</v>
      </c>
      <c r="J16" s="33">
        <f t="shared" si="2"/>
        <v>188.537382</v>
      </c>
      <c r="K16" s="30"/>
      <c r="L16" s="33">
        <f t="shared" si="3"/>
        <v>188.537382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11.0</v>
      </c>
      <c r="B17" s="30" t="s">
        <v>51</v>
      </c>
      <c r="C17" s="30" t="s">
        <v>91</v>
      </c>
      <c r="D17" s="30" t="s">
        <v>94</v>
      </c>
      <c r="E17" s="31">
        <v>45294.0</v>
      </c>
      <c r="F17" s="31" t="s">
        <v>34</v>
      </c>
      <c r="G17" s="32">
        <v>83.15022364830237</v>
      </c>
      <c r="H17" s="32">
        <v>10.0</v>
      </c>
      <c r="I17" s="33">
        <f t="shared" si="1"/>
        <v>0.6901468563</v>
      </c>
      <c r="J17" s="33">
        <f t="shared" si="2"/>
        <v>93.8403705</v>
      </c>
      <c r="K17" s="30"/>
      <c r="L17" s="33">
        <f t="shared" si="3"/>
        <v>93.8403705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32">
        <v>81.01751541538752</v>
      </c>
      <c r="H18" s="32"/>
      <c r="I18" s="33">
        <f t="shared" si="1"/>
        <v>0.6724453779</v>
      </c>
      <c r="J18" s="33">
        <f t="shared" si="2"/>
        <v>81.68996079</v>
      </c>
      <c r="K18" s="30"/>
      <c r="L18" s="33">
        <f t="shared" si="3"/>
        <v>81.68996079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13.0</v>
      </c>
      <c r="B19" s="30" t="s">
        <v>72</v>
      </c>
      <c r="C19" s="30" t="s">
        <v>91</v>
      </c>
      <c r="D19" s="30" t="s">
        <v>94</v>
      </c>
      <c r="E19" s="31">
        <v>45240.0</v>
      </c>
      <c r="F19" s="31" t="s">
        <v>38</v>
      </c>
      <c r="G19" s="32">
        <v>145.25801867087281</v>
      </c>
      <c r="H19" s="32"/>
      <c r="I19" s="33">
        <f t="shared" si="1"/>
        <v>1.205641555</v>
      </c>
      <c r="J19" s="33">
        <f t="shared" si="2"/>
        <v>146.4636602</v>
      </c>
      <c r="K19" s="30"/>
      <c r="L19" s="33">
        <f t="shared" si="3"/>
        <v>146.4636602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41">
        <v>14.0</v>
      </c>
      <c r="B20" s="34" t="s">
        <v>54</v>
      </c>
      <c r="C20" s="34" t="s">
        <v>91</v>
      </c>
      <c r="D20" s="30" t="s">
        <v>94</v>
      </c>
      <c r="E20" s="35">
        <v>45294.0</v>
      </c>
      <c r="F20" s="35" t="s">
        <v>34</v>
      </c>
      <c r="G20" s="32">
        <v>735.0471345271754</v>
      </c>
      <c r="H20" s="32">
        <v>100.0</v>
      </c>
      <c r="I20" s="32">
        <f t="shared" si="1"/>
        <v>6.100891217</v>
      </c>
      <c r="J20" s="32">
        <f t="shared" si="2"/>
        <v>841.1480257</v>
      </c>
      <c r="K20" s="34"/>
      <c r="L20" s="32">
        <f t="shared" si="3"/>
        <v>841.1480257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41">
        <v>15.0</v>
      </c>
      <c r="B21" s="30" t="s">
        <v>55</v>
      </c>
      <c r="C21" s="30" t="s">
        <v>91</v>
      </c>
      <c r="D21" s="30" t="s">
        <v>94</v>
      </c>
      <c r="E21" s="31">
        <v>45294.0</v>
      </c>
      <c r="F21" s="31" t="s">
        <v>33</v>
      </c>
      <c r="G21" s="32">
        <v>94.30153451705078</v>
      </c>
      <c r="H21" s="32">
        <v>15.0</v>
      </c>
      <c r="I21" s="33">
        <f t="shared" si="1"/>
        <v>0.7827027365</v>
      </c>
      <c r="J21" s="33">
        <f t="shared" si="2"/>
        <v>110.0842373</v>
      </c>
      <c r="K21" s="30"/>
      <c r="L21" s="33">
        <f t="shared" si="3"/>
        <v>110.0842373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16.0</v>
      </c>
      <c r="B22" s="30" t="s">
        <v>40</v>
      </c>
      <c r="C22" s="30" t="s">
        <v>91</v>
      </c>
      <c r="D22" s="30" t="s">
        <v>94</v>
      </c>
      <c r="E22" s="31">
        <v>45299.0</v>
      </c>
      <c r="F22" s="31" t="s">
        <v>38</v>
      </c>
      <c r="G22" s="32">
        <v>916.4743085214897</v>
      </c>
      <c r="H22" s="32">
        <v>50.0</v>
      </c>
      <c r="I22" s="33">
        <f t="shared" si="1"/>
        <v>7.606736761</v>
      </c>
      <c r="J22" s="33">
        <f t="shared" si="2"/>
        <v>974.0810453</v>
      </c>
      <c r="K22" s="30"/>
      <c r="L22" s="33">
        <f t="shared" si="3"/>
        <v>974.0810453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17.0</v>
      </c>
      <c r="B23" s="34" t="s">
        <v>41</v>
      </c>
      <c r="C23" s="34" t="s">
        <v>91</v>
      </c>
      <c r="D23" s="30" t="s">
        <v>94</v>
      </c>
      <c r="E23" s="35">
        <v>45293.0</v>
      </c>
      <c r="F23" s="35" t="s">
        <v>34</v>
      </c>
      <c r="G23" s="32">
        <v>144.97365047547802</v>
      </c>
      <c r="H23" s="39">
        <v>15.0</v>
      </c>
      <c r="I23" s="32">
        <f t="shared" si="1"/>
        <v>1.203281299</v>
      </c>
      <c r="J23" s="32">
        <f t="shared" si="2"/>
        <v>161.1769318</v>
      </c>
      <c r="K23" s="34"/>
      <c r="L23" s="32">
        <f t="shared" si="3"/>
        <v>161.1769318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18.0</v>
      </c>
      <c r="B24" s="30" t="s">
        <v>95</v>
      </c>
      <c r="C24" s="30" t="s">
        <v>93</v>
      </c>
      <c r="D24" s="30" t="s">
        <v>94</v>
      </c>
      <c r="E24" s="31">
        <v>45295.0</v>
      </c>
      <c r="F24" s="31" t="s">
        <v>39</v>
      </c>
      <c r="G24" s="32">
        <v>301.7656139162908</v>
      </c>
      <c r="H24" s="39">
        <v>50.0</v>
      </c>
      <c r="I24" s="33">
        <f t="shared" si="1"/>
        <v>2.504654596</v>
      </c>
      <c r="J24" s="33">
        <f t="shared" si="2"/>
        <v>354.2702685</v>
      </c>
      <c r="K24" s="30"/>
      <c r="L24" s="33">
        <f t="shared" si="3"/>
        <v>354.2702685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19.0</v>
      </c>
      <c r="B25" s="30" t="s">
        <v>96</v>
      </c>
      <c r="C25" s="30" t="s">
        <v>91</v>
      </c>
      <c r="D25" s="30" t="s">
        <v>94</v>
      </c>
      <c r="E25" s="31">
        <v>45303.0</v>
      </c>
      <c r="F25" s="31" t="s">
        <v>33</v>
      </c>
      <c r="G25" s="32">
        <v>88.91430862952981</v>
      </c>
      <c r="H25" s="39">
        <v>10.0</v>
      </c>
      <c r="I25" s="33">
        <f t="shared" si="1"/>
        <v>0.7379887616</v>
      </c>
      <c r="J25" s="33">
        <f t="shared" si="2"/>
        <v>99.65229739</v>
      </c>
      <c r="K25" s="30"/>
      <c r="L25" s="33">
        <f t="shared" si="3"/>
        <v>99.65229739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41">
        <v>20.0</v>
      </c>
      <c r="B26" s="30" t="s">
        <v>97</v>
      </c>
      <c r="C26" s="30" t="s">
        <v>93</v>
      </c>
      <c r="D26" s="30" t="s">
        <v>94</v>
      </c>
      <c r="E26" s="31">
        <v>45295.0</v>
      </c>
      <c r="F26" s="31" t="s">
        <v>34</v>
      </c>
      <c r="G26" s="32">
        <v>56.305705068977986</v>
      </c>
      <c r="H26" s="39">
        <v>5.0</v>
      </c>
      <c r="I26" s="33">
        <f t="shared" si="1"/>
        <v>0.4673373521</v>
      </c>
      <c r="J26" s="33">
        <f t="shared" si="2"/>
        <v>61.77304242</v>
      </c>
      <c r="K26" s="30"/>
      <c r="L26" s="33">
        <f t="shared" si="3"/>
        <v>61.77304242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32">
        <v>111.40698540198693</v>
      </c>
      <c r="H27" s="39"/>
      <c r="I27" s="32">
        <f t="shared" si="1"/>
        <v>0.9246779788</v>
      </c>
      <c r="J27" s="32">
        <f t="shared" si="2"/>
        <v>112.3316634</v>
      </c>
      <c r="K27" s="34"/>
      <c r="L27" s="32">
        <f t="shared" si="3"/>
        <v>112.3316634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32">
        <v>131.16259755107964</v>
      </c>
      <c r="H28" s="39"/>
      <c r="I28" s="33">
        <f t="shared" si="1"/>
        <v>1.08864956</v>
      </c>
      <c r="J28" s="33">
        <f t="shared" si="2"/>
        <v>132.2512471</v>
      </c>
      <c r="K28" s="30"/>
      <c r="L28" s="33">
        <f t="shared" si="3"/>
        <v>132.2512471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45302.0</v>
      </c>
      <c r="F29" s="31" t="s">
        <v>39</v>
      </c>
      <c r="G29" s="32">
        <v>411.3790385215214</v>
      </c>
      <c r="H29" s="39">
        <v>100.0</v>
      </c>
      <c r="I29" s="33">
        <f t="shared" si="1"/>
        <v>3.41444602</v>
      </c>
      <c r="J29" s="33">
        <f t="shared" si="2"/>
        <v>514.7934845</v>
      </c>
      <c r="K29" s="30"/>
      <c r="L29" s="33">
        <f t="shared" si="3"/>
        <v>514.7934845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45201.0</v>
      </c>
      <c r="F30" s="31" t="s">
        <v>40</v>
      </c>
      <c r="G30" s="32">
        <v>424.86221286205785</v>
      </c>
      <c r="H30" s="39"/>
      <c r="I30" s="33">
        <f t="shared" si="1"/>
        <v>3.526356367</v>
      </c>
      <c r="J30" s="33">
        <f t="shared" si="2"/>
        <v>428.3885692</v>
      </c>
      <c r="K30" s="30"/>
      <c r="L30" s="33">
        <f t="shared" si="3"/>
        <v>428.3885692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45059.0</v>
      </c>
      <c r="F31" s="31" t="s">
        <v>39</v>
      </c>
      <c r="G31" s="32">
        <v>21.191337389572265</v>
      </c>
      <c r="H31" s="39"/>
      <c r="I31" s="33">
        <f t="shared" si="1"/>
        <v>0.1758881003</v>
      </c>
      <c r="J31" s="33">
        <f t="shared" si="2"/>
        <v>21.36722549</v>
      </c>
      <c r="K31" s="30"/>
      <c r="L31" s="33">
        <f t="shared" si="3"/>
        <v>21.36722549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32">
        <v>62.287072784358394</v>
      </c>
      <c r="H32" s="39"/>
      <c r="I32" s="33">
        <f t="shared" si="1"/>
        <v>0.5169827041</v>
      </c>
      <c r="J32" s="33">
        <f t="shared" si="2"/>
        <v>62.80405549</v>
      </c>
      <c r="K32" s="30"/>
      <c r="L32" s="33">
        <f t="shared" si="3"/>
        <v>62.80405549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32">
        <v>208.4389283277102</v>
      </c>
      <c r="H33" s="39"/>
      <c r="I33" s="33">
        <f t="shared" si="1"/>
        <v>1.730043105</v>
      </c>
      <c r="J33" s="33">
        <f t="shared" si="2"/>
        <v>210.1689714</v>
      </c>
      <c r="K33" s="30"/>
      <c r="L33" s="33">
        <f t="shared" si="3"/>
        <v>210.1689714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45235.0</v>
      </c>
      <c r="F34" s="31" t="s">
        <v>39</v>
      </c>
      <c r="G34" s="32">
        <v>25.375225108935002</v>
      </c>
      <c r="H34" s="32"/>
      <c r="I34" s="33">
        <f t="shared" si="1"/>
        <v>0.2106143684</v>
      </c>
      <c r="J34" s="33">
        <f t="shared" si="2"/>
        <v>25.58583948</v>
      </c>
      <c r="K34" s="30"/>
      <c r="L34" s="33">
        <f t="shared" si="3"/>
        <v>25.58583948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45235.0</v>
      </c>
      <c r="F35" s="31" t="s">
        <v>35</v>
      </c>
      <c r="G35" s="32">
        <v>1009.55880658935</v>
      </c>
      <c r="H35" s="32"/>
      <c r="I35" s="33">
        <f t="shared" si="1"/>
        <v>8.379338095</v>
      </c>
      <c r="J35" s="33">
        <f t="shared" si="2"/>
        <v>1017.938145</v>
      </c>
      <c r="K35" s="30"/>
      <c r="L35" s="33">
        <f t="shared" si="3"/>
        <v>1017.938145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32">
        <v>15.167036208934999</v>
      </c>
      <c r="H36" s="32"/>
      <c r="I36" s="33">
        <f t="shared" si="1"/>
        <v>0.1258864005</v>
      </c>
      <c r="J36" s="33">
        <f t="shared" si="2"/>
        <v>15.29292261</v>
      </c>
      <c r="K36" s="30"/>
      <c r="L36" s="33">
        <f t="shared" si="3"/>
        <v>15.29292261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0.0" customHeight="1">
      <c r="A37" s="41">
        <v>31.0</v>
      </c>
      <c r="B37" s="30" t="s">
        <v>104</v>
      </c>
      <c r="C37" s="30"/>
      <c r="D37" s="30" t="s">
        <v>94</v>
      </c>
      <c r="E37" s="31">
        <v>45295.0</v>
      </c>
      <c r="F37" s="31"/>
      <c r="G37" s="32">
        <v>45.37453335</v>
      </c>
      <c r="H37" s="32">
        <v>15.0</v>
      </c>
      <c r="I37" s="33">
        <f t="shared" si="1"/>
        <v>0.3766086268</v>
      </c>
      <c r="J37" s="33">
        <f t="shared" si="2"/>
        <v>60.75114198</v>
      </c>
      <c r="K37" s="30"/>
      <c r="L37" s="33">
        <f t="shared" si="3"/>
        <v>60.75114198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32.0</v>
      </c>
      <c r="B38" s="30" t="s">
        <v>105</v>
      </c>
      <c r="C38" s="30"/>
      <c r="D38" s="30" t="s">
        <v>94</v>
      </c>
      <c r="E38" s="31">
        <v>45294.0</v>
      </c>
      <c r="F38" s="31"/>
      <c r="G38" s="32">
        <v>136.749889</v>
      </c>
      <c r="H38" s="32">
        <v>50.0</v>
      </c>
      <c r="I38" s="33">
        <f t="shared" si="1"/>
        <v>1.135024079</v>
      </c>
      <c r="J38" s="33">
        <f t="shared" si="2"/>
        <v>187.8849131</v>
      </c>
      <c r="K38" s="30"/>
      <c r="L38" s="33">
        <f t="shared" si="3"/>
        <v>187.8849131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33.0</v>
      </c>
      <c r="B39" s="30" t="s">
        <v>106</v>
      </c>
      <c r="C39" s="30"/>
      <c r="D39" s="30" t="s">
        <v>94</v>
      </c>
      <c r="E39" s="31">
        <v>45295.0</v>
      </c>
      <c r="F39" s="31"/>
      <c r="G39" s="32">
        <v>30.2496889</v>
      </c>
      <c r="H39" s="32">
        <v>10.0</v>
      </c>
      <c r="I39" s="33">
        <f t="shared" si="1"/>
        <v>0.2510724179</v>
      </c>
      <c r="J39" s="33">
        <f t="shared" si="2"/>
        <v>40.50076132</v>
      </c>
      <c r="K39" s="30"/>
      <c r="L39" s="33">
        <f t="shared" si="3"/>
        <v>40.50076132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0.0" customHeight="1">
      <c r="A40" s="41">
        <v>34.0</v>
      </c>
      <c r="B40" s="30" t="s">
        <v>107</v>
      </c>
      <c r="C40" s="30"/>
      <c r="D40" s="30" t="s">
        <v>94</v>
      </c>
      <c r="E40" s="31">
        <v>45295.0</v>
      </c>
      <c r="F40" s="31"/>
      <c r="G40" s="32">
        <v>60.4993778</v>
      </c>
      <c r="H40" s="32">
        <v>20.0</v>
      </c>
      <c r="I40" s="33">
        <f t="shared" si="1"/>
        <v>0.5021448357</v>
      </c>
      <c r="J40" s="33">
        <f t="shared" si="2"/>
        <v>81.00152264</v>
      </c>
      <c r="K40" s="30"/>
      <c r="L40" s="33">
        <f t="shared" si="3"/>
        <v>81.00152264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0.0" customHeight="1">
      <c r="A41" s="41">
        <v>35.0</v>
      </c>
      <c r="B41" s="30" t="s">
        <v>108</v>
      </c>
      <c r="C41" s="30"/>
      <c r="D41" s="30" t="s">
        <v>94</v>
      </c>
      <c r="E41" s="31">
        <v>45298.0</v>
      </c>
      <c r="F41" s="31"/>
      <c r="G41" s="32">
        <v>30.2496889</v>
      </c>
      <c r="H41" s="32">
        <v>10.0</v>
      </c>
      <c r="I41" s="33">
        <f t="shared" si="1"/>
        <v>0.2510724179</v>
      </c>
      <c r="J41" s="33">
        <f t="shared" si="2"/>
        <v>40.50076132</v>
      </c>
      <c r="K41" s="30"/>
      <c r="L41" s="33">
        <f t="shared" si="3"/>
        <v>40.50076132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0.0" customHeight="1">
      <c r="A42" s="41">
        <v>36.0</v>
      </c>
      <c r="B42" s="30" t="s">
        <v>109</v>
      </c>
      <c r="C42" s="30"/>
      <c r="D42" s="30" t="s">
        <v>94</v>
      </c>
      <c r="E42" s="31">
        <v>45297.0</v>
      </c>
      <c r="F42" s="31"/>
      <c r="G42" s="32">
        <v>75.62422225000002</v>
      </c>
      <c r="H42" s="32">
        <v>25.0</v>
      </c>
      <c r="I42" s="33">
        <f t="shared" si="1"/>
        <v>0.6276810447</v>
      </c>
      <c r="J42" s="33">
        <f t="shared" si="2"/>
        <v>101.2519033</v>
      </c>
      <c r="K42" s="30"/>
      <c r="L42" s="33">
        <f t="shared" si="3"/>
        <v>101.2519033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0.0" customHeight="1">
      <c r="A43" s="41">
        <v>37.0</v>
      </c>
      <c r="B43" s="30" t="s">
        <v>110</v>
      </c>
      <c r="C43" s="30"/>
      <c r="D43" s="30" t="s">
        <v>94</v>
      </c>
      <c r="E43" s="31">
        <v>45237.0</v>
      </c>
      <c r="F43" s="31"/>
      <c r="G43" s="32">
        <v>101.2484445</v>
      </c>
      <c r="H43" s="32"/>
      <c r="I43" s="33">
        <f t="shared" si="1"/>
        <v>0.8403620894</v>
      </c>
      <c r="J43" s="33">
        <f t="shared" si="2"/>
        <v>102.0888066</v>
      </c>
      <c r="K43" s="30"/>
      <c r="L43" s="33">
        <f t="shared" si="3"/>
        <v>102.0888066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0.0" customHeight="1">
      <c r="A44" s="41">
        <v>38.0</v>
      </c>
      <c r="B44" s="30" t="s">
        <v>111</v>
      </c>
      <c r="C44" s="30"/>
      <c r="D44" s="30" t="s">
        <v>94</v>
      </c>
      <c r="E44" s="31">
        <v>45302.0</v>
      </c>
      <c r="F44" s="31"/>
      <c r="G44" s="32">
        <v>30.758023345</v>
      </c>
      <c r="H44" s="32">
        <v>10.0</v>
      </c>
      <c r="I44" s="33">
        <f t="shared" si="1"/>
        <v>0.2552915938</v>
      </c>
      <c r="J44" s="33">
        <f t="shared" si="2"/>
        <v>41.01331494</v>
      </c>
      <c r="K44" s="30"/>
      <c r="L44" s="33">
        <f t="shared" si="3"/>
        <v>41.01331494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0.0" customHeight="1">
      <c r="A45" s="41">
        <v>39.0</v>
      </c>
      <c r="B45" s="30" t="s">
        <v>112</v>
      </c>
      <c r="C45" s="30"/>
      <c r="D45" s="30" t="s">
        <v>94</v>
      </c>
      <c r="E45" s="31">
        <v>45245.0</v>
      </c>
      <c r="F45" s="31"/>
      <c r="G45" s="32">
        <v>20.2496889</v>
      </c>
      <c r="H45" s="32"/>
      <c r="I45" s="33">
        <f t="shared" si="1"/>
        <v>0.1680724179</v>
      </c>
      <c r="J45" s="33">
        <f t="shared" si="2"/>
        <v>20.41776132</v>
      </c>
      <c r="K45" s="30"/>
      <c r="L45" s="33">
        <f t="shared" si="3"/>
        <v>20.41776132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0.0" customHeight="1">
      <c r="A46" s="41">
        <v>40.0</v>
      </c>
      <c r="B46" s="30" t="s">
        <v>116</v>
      </c>
      <c r="C46" s="30"/>
      <c r="D46" s="30" t="s">
        <v>94</v>
      </c>
      <c r="E46" s="31">
        <v>45316.0</v>
      </c>
      <c r="F46" s="31"/>
      <c r="G46" s="32">
        <v>10.0</v>
      </c>
      <c r="H46" s="32"/>
      <c r="I46" s="33"/>
      <c r="J46" s="33">
        <f t="shared" si="2"/>
        <v>10</v>
      </c>
      <c r="K46" s="30"/>
      <c r="L46" s="33">
        <f t="shared" si="3"/>
        <v>10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0.0" customHeight="1">
      <c r="A47" s="41">
        <v>41.0</v>
      </c>
      <c r="B47" s="30" t="s">
        <v>117</v>
      </c>
      <c r="C47" s="30"/>
      <c r="D47" s="30" t="s">
        <v>94</v>
      </c>
      <c r="E47" s="31">
        <v>45296.0</v>
      </c>
      <c r="F47" s="31"/>
      <c r="G47" s="32">
        <v>50.0</v>
      </c>
      <c r="H47" s="32"/>
      <c r="I47" s="33"/>
      <c r="J47" s="33">
        <f t="shared" si="2"/>
        <v>50</v>
      </c>
      <c r="K47" s="30"/>
      <c r="L47" s="33">
        <f t="shared" si="3"/>
        <v>50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0.0" customHeight="1">
      <c r="A48" s="41">
        <v>42.0</v>
      </c>
      <c r="B48" s="30" t="s">
        <v>118</v>
      </c>
      <c r="C48" s="30"/>
      <c r="D48" s="30" t="s">
        <v>94</v>
      </c>
      <c r="E48" s="31">
        <v>45303.0</v>
      </c>
      <c r="F48" s="31"/>
      <c r="G48" s="32">
        <v>20.0</v>
      </c>
      <c r="H48" s="32"/>
      <c r="I48" s="33"/>
      <c r="J48" s="33">
        <f t="shared" si="2"/>
        <v>20</v>
      </c>
      <c r="K48" s="30"/>
      <c r="L48" s="33">
        <f t="shared" si="3"/>
        <v>20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11"/>
      <c r="B49" s="13"/>
      <c r="C49" s="13"/>
      <c r="D49" s="13"/>
      <c r="E49" s="14"/>
      <c r="F49" s="14"/>
      <c r="G49" s="13"/>
      <c r="H49" s="13"/>
      <c r="I49" s="16"/>
      <c r="J49" s="16"/>
      <c r="K49" s="13"/>
      <c r="L49" s="16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17"/>
      <c r="B50" s="13"/>
      <c r="C50" s="13"/>
      <c r="D50" s="13"/>
      <c r="E50" s="13"/>
      <c r="F50" s="13"/>
      <c r="G50" s="18">
        <f>SUM(G7:G48)</f>
        <v>44243.52686</v>
      </c>
      <c r="H50" s="18">
        <f t="shared" ref="H50:I50" si="4">SUM(H7:H47)</f>
        <v>725.88</v>
      </c>
      <c r="I50" s="18">
        <f t="shared" si="4"/>
        <v>366.557273</v>
      </c>
      <c r="J50" s="18">
        <f>SUM(J7:J48)</f>
        <v>45335.96414</v>
      </c>
      <c r="K50" s="18">
        <f>SUM(K7:K47)</f>
        <v>2909.93</v>
      </c>
      <c r="L50" s="18">
        <f>SUM(L7:L48)</f>
        <v>42426.03414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2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47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10.29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119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41">
        <v>1.0</v>
      </c>
      <c r="B7" s="30" t="s">
        <v>46</v>
      </c>
      <c r="C7" s="30" t="s">
        <v>91</v>
      </c>
      <c r="D7" s="30" t="s">
        <v>92</v>
      </c>
      <c r="E7" s="31">
        <v>45351.0</v>
      </c>
      <c r="F7" s="31"/>
      <c r="G7" s="33">
        <v>4262.855537701774</v>
      </c>
      <c r="H7" s="32">
        <v>20.0</v>
      </c>
      <c r="I7" s="33">
        <f t="shared" ref="I7:I48" si="1">G7*0.83%</f>
        <v>35.38170096</v>
      </c>
      <c r="J7" s="33">
        <f t="shared" ref="J7:J51" si="2">G7+H7+I7</f>
        <v>4318.237239</v>
      </c>
      <c r="K7" s="30"/>
      <c r="L7" s="33">
        <f t="shared" ref="L7:L51" si="3">J7-K7</f>
        <v>4318.237239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45334.0</v>
      </c>
      <c r="F8" s="31"/>
      <c r="G8" s="33">
        <v>6738.713378474207</v>
      </c>
      <c r="H8" s="32">
        <v>30.0</v>
      </c>
      <c r="I8" s="33">
        <f t="shared" si="1"/>
        <v>55.93132104</v>
      </c>
      <c r="J8" s="33">
        <f t="shared" si="2"/>
        <v>6824.6447</v>
      </c>
      <c r="K8" s="30"/>
      <c r="L8" s="33">
        <f t="shared" si="3"/>
        <v>6824.6447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45697.0</v>
      </c>
      <c r="F9" s="31"/>
      <c r="G9" s="33">
        <v>6619.7602744603555</v>
      </c>
      <c r="H9" s="32">
        <v>50.0</v>
      </c>
      <c r="I9" s="33">
        <f t="shared" si="1"/>
        <v>54.94401028</v>
      </c>
      <c r="J9" s="33">
        <f t="shared" si="2"/>
        <v>6724.704285</v>
      </c>
      <c r="K9" s="30"/>
      <c r="L9" s="33">
        <f t="shared" si="3"/>
        <v>6724.704285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33">
        <v>2903.660561466218</v>
      </c>
      <c r="H10" s="32"/>
      <c r="I10" s="32">
        <f t="shared" si="1"/>
        <v>24.10038266</v>
      </c>
      <c r="J10" s="32">
        <f t="shared" si="2"/>
        <v>2927.760944</v>
      </c>
      <c r="K10" s="51"/>
      <c r="L10" s="32">
        <f t="shared" si="3"/>
        <v>2927.760944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45239.0</v>
      </c>
      <c r="F11" s="35"/>
      <c r="G11" s="33">
        <v>436.5404842641108</v>
      </c>
      <c r="H11" s="32"/>
      <c r="I11" s="32">
        <f t="shared" si="1"/>
        <v>3.623286019</v>
      </c>
      <c r="J11" s="32">
        <f t="shared" si="2"/>
        <v>440.1637703</v>
      </c>
      <c r="K11" s="34"/>
      <c r="L11" s="32">
        <f t="shared" si="3"/>
        <v>440.1637703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45270.0</v>
      </c>
      <c r="F12" s="35"/>
      <c r="G12" s="49">
        <v>2468.0984745226488</v>
      </c>
      <c r="H12" s="32"/>
      <c r="I12" s="32">
        <f t="shared" si="1"/>
        <v>20.48521734</v>
      </c>
      <c r="J12" s="32">
        <f t="shared" si="2"/>
        <v>2488.583692</v>
      </c>
      <c r="K12" s="51"/>
      <c r="L12" s="32">
        <f t="shared" si="3"/>
        <v>2488.583692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45333.0</v>
      </c>
      <c r="F13" s="35"/>
      <c r="G13" s="33">
        <v>6470.525354850435</v>
      </c>
      <c r="H13" s="32">
        <v>50.6</v>
      </c>
      <c r="I13" s="32">
        <f t="shared" si="1"/>
        <v>53.70536045</v>
      </c>
      <c r="J13" s="32">
        <f t="shared" si="2"/>
        <v>6574.830715</v>
      </c>
      <c r="K13" s="34"/>
      <c r="L13" s="32">
        <f t="shared" si="3"/>
        <v>6574.830715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45331.0</v>
      </c>
      <c r="F14" s="31"/>
      <c r="G14" s="33">
        <v>6054.013626453999</v>
      </c>
      <c r="H14" s="32">
        <v>30.0</v>
      </c>
      <c r="I14" s="33">
        <f t="shared" si="1"/>
        <v>50.2483131</v>
      </c>
      <c r="J14" s="33">
        <f t="shared" si="2"/>
        <v>6134.26194</v>
      </c>
      <c r="K14" s="30"/>
      <c r="L14" s="32">
        <f t="shared" si="3"/>
        <v>6134.26194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41">
        <v>9.0</v>
      </c>
      <c r="B15" s="30" t="s">
        <v>49</v>
      </c>
      <c r="C15" s="30" t="s">
        <v>91</v>
      </c>
      <c r="D15" s="30" t="s">
        <v>94</v>
      </c>
      <c r="E15" s="31">
        <v>45331.0</v>
      </c>
      <c r="F15" s="31" t="s">
        <v>38</v>
      </c>
      <c r="G15" s="33">
        <v>62.81621314960522</v>
      </c>
      <c r="H15" s="32">
        <v>5.0</v>
      </c>
      <c r="I15" s="33">
        <f t="shared" si="1"/>
        <v>0.5213745691</v>
      </c>
      <c r="J15" s="33">
        <f t="shared" si="2"/>
        <v>68.33758772</v>
      </c>
      <c r="K15" s="30"/>
      <c r="L15" s="33">
        <f t="shared" si="3"/>
        <v>68.33758772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10.0</v>
      </c>
      <c r="B16" s="30" t="s">
        <v>58</v>
      </c>
      <c r="C16" s="30" t="s">
        <v>93</v>
      </c>
      <c r="D16" s="30" t="s">
        <v>94</v>
      </c>
      <c r="E16" s="31">
        <v>45324.0</v>
      </c>
      <c r="F16" s="31" t="s">
        <v>39</v>
      </c>
      <c r="G16" s="33">
        <v>188.53738199366595</v>
      </c>
      <c r="H16" s="32">
        <v>20.0</v>
      </c>
      <c r="I16" s="33">
        <f t="shared" si="1"/>
        <v>1.564860271</v>
      </c>
      <c r="J16" s="33">
        <f t="shared" si="2"/>
        <v>210.1022423</v>
      </c>
      <c r="K16" s="30"/>
      <c r="L16" s="33">
        <f t="shared" si="3"/>
        <v>210.1022423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11.0</v>
      </c>
      <c r="B17" s="30" t="s">
        <v>51</v>
      </c>
      <c r="C17" s="30" t="s">
        <v>91</v>
      </c>
      <c r="D17" s="30" t="s">
        <v>94</v>
      </c>
      <c r="E17" s="31">
        <v>45294.0</v>
      </c>
      <c r="F17" s="31" t="s">
        <v>34</v>
      </c>
      <c r="G17" s="33">
        <v>93.84037050458328</v>
      </c>
      <c r="H17" s="32"/>
      <c r="I17" s="33">
        <f t="shared" si="1"/>
        <v>0.7788750752</v>
      </c>
      <c r="J17" s="33">
        <f t="shared" si="2"/>
        <v>94.61924558</v>
      </c>
      <c r="K17" s="30"/>
      <c r="L17" s="33">
        <f t="shared" si="3"/>
        <v>94.61924558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33">
        <v>81.68996079333523</v>
      </c>
      <c r="H18" s="32"/>
      <c r="I18" s="33">
        <f t="shared" si="1"/>
        <v>0.6780266746</v>
      </c>
      <c r="J18" s="33">
        <f t="shared" si="2"/>
        <v>82.36798747</v>
      </c>
      <c r="K18" s="30"/>
      <c r="L18" s="33">
        <f t="shared" si="3"/>
        <v>82.36798747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13.0</v>
      </c>
      <c r="B19" s="30" t="s">
        <v>72</v>
      </c>
      <c r="C19" s="30" t="s">
        <v>91</v>
      </c>
      <c r="D19" s="30" t="s">
        <v>94</v>
      </c>
      <c r="E19" s="31">
        <v>45240.0</v>
      </c>
      <c r="F19" s="31" t="s">
        <v>38</v>
      </c>
      <c r="G19" s="33">
        <v>146.46366022584107</v>
      </c>
      <c r="H19" s="32"/>
      <c r="I19" s="33">
        <f t="shared" si="1"/>
        <v>1.21564838</v>
      </c>
      <c r="J19" s="33">
        <f t="shared" si="2"/>
        <v>147.6793086</v>
      </c>
      <c r="K19" s="30"/>
      <c r="L19" s="33">
        <f t="shared" si="3"/>
        <v>147.6793086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41">
        <v>14.0</v>
      </c>
      <c r="B20" s="34" t="s">
        <v>54</v>
      </c>
      <c r="C20" s="34" t="s">
        <v>91</v>
      </c>
      <c r="D20" s="30" t="s">
        <v>94</v>
      </c>
      <c r="E20" s="35">
        <v>45690.0</v>
      </c>
      <c r="F20" s="35" t="s">
        <v>34</v>
      </c>
      <c r="G20" s="32">
        <v>841.148025743751</v>
      </c>
      <c r="H20" s="32">
        <v>100.0</v>
      </c>
      <c r="I20" s="32">
        <f t="shared" si="1"/>
        <v>6.981528614</v>
      </c>
      <c r="J20" s="32">
        <f t="shared" si="2"/>
        <v>948.1295544</v>
      </c>
      <c r="K20" s="34"/>
      <c r="L20" s="32">
        <f t="shared" si="3"/>
        <v>948.1295544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41">
        <v>15.0</v>
      </c>
      <c r="B21" s="30" t="s">
        <v>55</v>
      </c>
      <c r="C21" s="30" t="s">
        <v>91</v>
      </c>
      <c r="D21" s="30" t="s">
        <v>94</v>
      </c>
      <c r="E21" s="31">
        <v>45294.0</v>
      </c>
      <c r="F21" s="31" t="s">
        <v>33</v>
      </c>
      <c r="G21" s="33">
        <v>110.0842372535423</v>
      </c>
      <c r="H21" s="32"/>
      <c r="I21" s="33">
        <f t="shared" si="1"/>
        <v>0.9136991692</v>
      </c>
      <c r="J21" s="33">
        <f t="shared" si="2"/>
        <v>110.9979364</v>
      </c>
      <c r="K21" s="30"/>
      <c r="L21" s="33">
        <f t="shared" si="3"/>
        <v>110.9979364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16.0</v>
      </c>
      <c r="B22" s="30" t="s">
        <v>40</v>
      </c>
      <c r="C22" s="30" t="s">
        <v>91</v>
      </c>
      <c r="D22" s="30" t="s">
        <v>94</v>
      </c>
      <c r="E22" s="31">
        <v>45324.0</v>
      </c>
      <c r="F22" s="31" t="s">
        <v>38</v>
      </c>
      <c r="G22" s="33">
        <v>974.081045282218</v>
      </c>
      <c r="H22" s="32">
        <v>50.0</v>
      </c>
      <c r="I22" s="33">
        <f t="shared" si="1"/>
        <v>8.084872676</v>
      </c>
      <c r="J22" s="33">
        <f t="shared" si="2"/>
        <v>1032.165918</v>
      </c>
      <c r="K22" s="30"/>
      <c r="L22" s="33">
        <f t="shared" si="3"/>
        <v>1032.165918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17.0</v>
      </c>
      <c r="B23" s="34" t="s">
        <v>41</v>
      </c>
      <c r="C23" s="34" t="s">
        <v>91</v>
      </c>
      <c r="D23" s="30" t="s">
        <v>94</v>
      </c>
      <c r="E23" s="35">
        <v>45690.0</v>
      </c>
      <c r="F23" s="35" t="s">
        <v>34</v>
      </c>
      <c r="G23" s="32">
        <v>161.1769317744245</v>
      </c>
      <c r="H23" s="39">
        <v>20.0</v>
      </c>
      <c r="I23" s="32">
        <f t="shared" si="1"/>
        <v>1.337768534</v>
      </c>
      <c r="J23" s="32">
        <f t="shared" si="2"/>
        <v>182.5147003</v>
      </c>
      <c r="K23" s="34"/>
      <c r="L23" s="32">
        <f t="shared" si="3"/>
        <v>182.5147003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18.0</v>
      </c>
      <c r="B24" s="30" t="s">
        <v>95</v>
      </c>
      <c r="C24" s="30" t="s">
        <v>93</v>
      </c>
      <c r="D24" s="30" t="s">
        <v>94</v>
      </c>
      <c r="E24" s="31">
        <v>45324.0</v>
      </c>
      <c r="F24" s="31" t="s">
        <v>39</v>
      </c>
      <c r="G24" s="33">
        <v>354.270268511796</v>
      </c>
      <c r="H24" s="39">
        <v>50.0</v>
      </c>
      <c r="I24" s="33">
        <f t="shared" si="1"/>
        <v>2.940443229</v>
      </c>
      <c r="J24" s="33">
        <f t="shared" si="2"/>
        <v>407.2107117</v>
      </c>
      <c r="K24" s="30"/>
      <c r="L24" s="33">
        <f t="shared" si="3"/>
        <v>407.2107117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19.0</v>
      </c>
      <c r="B25" s="30" t="s">
        <v>96</v>
      </c>
      <c r="C25" s="30" t="s">
        <v>91</v>
      </c>
      <c r="D25" s="30" t="s">
        <v>94</v>
      </c>
      <c r="E25" s="31">
        <v>45303.0</v>
      </c>
      <c r="F25" s="31" t="s">
        <v>33</v>
      </c>
      <c r="G25" s="33">
        <v>99.65229739115492</v>
      </c>
      <c r="H25" s="39"/>
      <c r="I25" s="33">
        <f t="shared" si="1"/>
        <v>0.8271140683</v>
      </c>
      <c r="J25" s="33">
        <f t="shared" si="2"/>
        <v>100.4794115</v>
      </c>
      <c r="K25" s="30"/>
      <c r="L25" s="33">
        <f t="shared" si="3"/>
        <v>100.4794115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41">
        <v>20.0</v>
      </c>
      <c r="B26" s="30" t="s">
        <v>97</v>
      </c>
      <c r="C26" s="30" t="s">
        <v>93</v>
      </c>
      <c r="D26" s="30" t="s">
        <v>94</v>
      </c>
      <c r="E26" s="31">
        <v>45325.0</v>
      </c>
      <c r="F26" s="31" t="s">
        <v>34</v>
      </c>
      <c r="G26" s="33">
        <v>61.773042421050505</v>
      </c>
      <c r="H26" s="39">
        <v>5.0</v>
      </c>
      <c r="I26" s="33">
        <f t="shared" si="1"/>
        <v>0.5127162521</v>
      </c>
      <c r="J26" s="33">
        <f t="shared" si="2"/>
        <v>67.28575867</v>
      </c>
      <c r="K26" s="30"/>
      <c r="L26" s="33">
        <f t="shared" si="3"/>
        <v>67.28575867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32">
        <v>112.33166338082341</v>
      </c>
      <c r="H27" s="39"/>
      <c r="I27" s="32">
        <f t="shared" si="1"/>
        <v>0.9323528061</v>
      </c>
      <c r="J27" s="32">
        <f t="shared" si="2"/>
        <v>113.2640162</v>
      </c>
      <c r="K27" s="34"/>
      <c r="L27" s="32">
        <f t="shared" si="3"/>
        <v>113.2640162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33">
        <v>132.2512471107536</v>
      </c>
      <c r="H28" s="39"/>
      <c r="I28" s="33">
        <f t="shared" si="1"/>
        <v>1.097685351</v>
      </c>
      <c r="J28" s="33">
        <f t="shared" si="2"/>
        <v>133.3489325</v>
      </c>
      <c r="K28" s="30"/>
      <c r="L28" s="33">
        <f t="shared" si="3"/>
        <v>133.3489325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45334.0</v>
      </c>
      <c r="F29" s="31" t="s">
        <v>39</v>
      </c>
      <c r="G29" s="33">
        <v>514.79348454125</v>
      </c>
      <c r="H29" s="39">
        <v>100.0</v>
      </c>
      <c r="I29" s="33">
        <f t="shared" si="1"/>
        <v>4.272785922</v>
      </c>
      <c r="J29" s="33">
        <f t="shared" si="2"/>
        <v>619.0662705</v>
      </c>
      <c r="K29" s="30"/>
      <c r="L29" s="33">
        <f t="shared" si="3"/>
        <v>619.0662705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45201.0</v>
      </c>
      <c r="F30" s="31" t="s">
        <v>40</v>
      </c>
      <c r="G30" s="33">
        <v>428.3885692288129</v>
      </c>
      <c r="H30" s="39"/>
      <c r="I30" s="33">
        <f t="shared" si="1"/>
        <v>3.555625125</v>
      </c>
      <c r="J30" s="33">
        <f t="shared" si="2"/>
        <v>431.9441944</v>
      </c>
      <c r="K30" s="30"/>
      <c r="L30" s="33">
        <f t="shared" si="3"/>
        <v>431.9441944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45059.0</v>
      </c>
      <c r="F31" s="31" t="s">
        <v>39</v>
      </c>
      <c r="G31" s="33">
        <v>21.367225489905714</v>
      </c>
      <c r="H31" s="39"/>
      <c r="I31" s="33">
        <f t="shared" si="1"/>
        <v>0.1773479716</v>
      </c>
      <c r="J31" s="33">
        <f t="shared" si="2"/>
        <v>21.54457346</v>
      </c>
      <c r="K31" s="30"/>
      <c r="L31" s="33">
        <f t="shared" si="3"/>
        <v>21.54457346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33">
        <v>62.80405548846857</v>
      </c>
      <c r="H32" s="39"/>
      <c r="I32" s="33">
        <f t="shared" si="1"/>
        <v>0.5212736606</v>
      </c>
      <c r="J32" s="33">
        <f t="shared" si="2"/>
        <v>63.32532915</v>
      </c>
      <c r="K32" s="30"/>
      <c r="L32" s="33">
        <f t="shared" si="3"/>
        <v>63.32532915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33">
        <v>210.16897143283018</v>
      </c>
      <c r="H33" s="39"/>
      <c r="I33" s="33">
        <f t="shared" si="1"/>
        <v>1.744402463</v>
      </c>
      <c r="J33" s="33">
        <f t="shared" si="2"/>
        <v>211.9133739</v>
      </c>
      <c r="K33" s="30"/>
      <c r="L33" s="33">
        <f t="shared" si="3"/>
        <v>211.9133739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45330.0</v>
      </c>
      <c r="F34" s="31" t="s">
        <v>39</v>
      </c>
      <c r="G34" s="33">
        <v>25.585839477339164</v>
      </c>
      <c r="H34" s="32">
        <v>10.0</v>
      </c>
      <c r="I34" s="33">
        <f t="shared" si="1"/>
        <v>0.2123624677</v>
      </c>
      <c r="J34" s="33">
        <f t="shared" si="2"/>
        <v>35.79820195</v>
      </c>
      <c r="K34" s="30"/>
      <c r="L34" s="33">
        <f t="shared" si="3"/>
        <v>35.79820195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45235.0</v>
      </c>
      <c r="F35" s="31" t="s">
        <v>35</v>
      </c>
      <c r="G35" s="33">
        <v>1017.9381446840416</v>
      </c>
      <c r="H35" s="32"/>
      <c r="I35" s="33">
        <f t="shared" si="1"/>
        <v>8.448886601</v>
      </c>
      <c r="J35" s="33">
        <f t="shared" si="2"/>
        <v>1026.387031</v>
      </c>
      <c r="K35" s="30"/>
      <c r="L35" s="33">
        <f t="shared" si="3"/>
        <v>1026.387031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33">
        <v>15.292922609469159</v>
      </c>
      <c r="H36" s="32"/>
      <c r="I36" s="33">
        <f t="shared" si="1"/>
        <v>0.1269312577</v>
      </c>
      <c r="J36" s="33">
        <f t="shared" si="2"/>
        <v>15.41985387</v>
      </c>
      <c r="K36" s="30"/>
      <c r="L36" s="33">
        <f t="shared" si="3"/>
        <v>15.41985387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0.0" customHeight="1">
      <c r="A37" s="41">
        <v>31.0</v>
      </c>
      <c r="B37" s="30" t="s">
        <v>104</v>
      </c>
      <c r="C37" s="30"/>
      <c r="D37" s="30" t="s">
        <v>94</v>
      </c>
      <c r="E37" s="31">
        <v>45331.0</v>
      </c>
      <c r="F37" s="31"/>
      <c r="G37" s="33">
        <v>60.751141976805</v>
      </c>
      <c r="H37" s="32">
        <v>15.0</v>
      </c>
      <c r="I37" s="33">
        <f t="shared" si="1"/>
        <v>0.5042344784</v>
      </c>
      <c r="J37" s="33">
        <f t="shared" si="2"/>
        <v>76.25537646</v>
      </c>
      <c r="K37" s="30"/>
      <c r="L37" s="33">
        <f t="shared" si="3"/>
        <v>76.25537646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32.0</v>
      </c>
      <c r="B38" s="30" t="s">
        <v>105</v>
      </c>
      <c r="C38" s="30"/>
      <c r="D38" s="30" t="s">
        <v>94</v>
      </c>
      <c r="E38" s="31">
        <v>45294.0</v>
      </c>
      <c r="F38" s="31"/>
      <c r="G38" s="33">
        <v>187.8849130787</v>
      </c>
      <c r="H38" s="32"/>
      <c r="I38" s="33">
        <f t="shared" si="1"/>
        <v>1.559444779</v>
      </c>
      <c r="J38" s="33">
        <f t="shared" si="2"/>
        <v>189.4443579</v>
      </c>
      <c r="K38" s="30"/>
      <c r="L38" s="33">
        <f t="shared" si="3"/>
        <v>189.4443579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33.0</v>
      </c>
      <c r="B39" s="30" t="s">
        <v>106</v>
      </c>
      <c r="C39" s="30"/>
      <c r="D39" s="30" t="s">
        <v>94</v>
      </c>
      <c r="E39" s="31">
        <v>45333.0</v>
      </c>
      <c r="F39" s="31"/>
      <c r="G39" s="33">
        <v>40.500761317869994</v>
      </c>
      <c r="H39" s="32">
        <v>10.0</v>
      </c>
      <c r="I39" s="33">
        <f t="shared" si="1"/>
        <v>0.3361563189</v>
      </c>
      <c r="J39" s="33">
        <f t="shared" si="2"/>
        <v>50.83691764</v>
      </c>
      <c r="K39" s="30"/>
      <c r="L39" s="33">
        <f t="shared" si="3"/>
        <v>50.83691764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0.0" customHeight="1">
      <c r="A40" s="41">
        <v>34.0</v>
      </c>
      <c r="B40" s="30" t="s">
        <v>107</v>
      </c>
      <c r="C40" s="30"/>
      <c r="D40" s="30" t="s">
        <v>94</v>
      </c>
      <c r="E40" s="31">
        <v>45331.0</v>
      </c>
      <c r="F40" s="31"/>
      <c r="G40" s="33">
        <v>81.00152263573999</v>
      </c>
      <c r="H40" s="32">
        <v>20.0</v>
      </c>
      <c r="I40" s="33">
        <f t="shared" si="1"/>
        <v>0.6723126379</v>
      </c>
      <c r="J40" s="33">
        <f t="shared" si="2"/>
        <v>101.6738353</v>
      </c>
      <c r="K40" s="30"/>
      <c r="L40" s="33">
        <f t="shared" si="3"/>
        <v>101.6738353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0.0" customHeight="1">
      <c r="A41" s="41">
        <v>35.0</v>
      </c>
      <c r="B41" s="30" t="s">
        <v>108</v>
      </c>
      <c r="C41" s="30"/>
      <c r="D41" s="30" t="s">
        <v>94</v>
      </c>
      <c r="E41" s="31">
        <v>45330.0</v>
      </c>
      <c r="F41" s="31"/>
      <c r="G41" s="33">
        <v>40.500761317869994</v>
      </c>
      <c r="H41" s="32">
        <v>10.0</v>
      </c>
      <c r="I41" s="33">
        <f t="shared" si="1"/>
        <v>0.3361563189</v>
      </c>
      <c r="J41" s="33">
        <f t="shared" si="2"/>
        <v>50.83691764</v>
      </c>
      <c r="K41" s="30"/>
      <c r="L41" s="33">
        <f t="shared" si="3"/>
        <v>50.83691764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0.0" customHeight="1">
      <c r="A42" s="41">
        <v>36.0</v>
      </c>
      <c r="B42" s="30" t="s">
        <v>109</v>
      </c>
      <c r="C42" s="30"/>
      <c r="D42" s="30" t="s">
        <v>94</v>
      </c>
      <c r="E42" s="31">
        <v>45333.0</v>
      </c>
      <c r="F42" s="31"/>
      <c r="G42" s="33">
        <v>101.25190329467502</v>
      </c>
      <c r="H42" s="32">
        <v>25.0</v>
      </c>
      <c r="I42" s="33">
        <f t="shared" si="1"/>
        <v>0.8403907973</v>
      </c>
      <c r="J42" s="33">
        <f t="shared" si="2"/>
        <v>127.0922941</v>
      </c>
      <c r="K42" s="30"/>
      <c r="L42" s="33">
        <f t="shared" si="3"/>
        <v>127.0922941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0.0" customHeight="1">
      <c r="A43" s="41">
        <v>37.0</v>
      </c>
      <c r="B43" s="30" t="s">
        <v>110</v>
      </c>
      <c r="C43" s="30"/>
      <c r="D43" s="30" t="s">
        <v>94</v>
      </c>
      <c r="E43" s="31">
        <v>45334.0</v>
      </c>
      <c r="F43" s="31"/>
      <c r="G43" s="33">
        <v>102.08880658935</v>
      </c>
      <c r="H43" s="32">
        <v>25.0</v>
      </c>
      <c r="I43" s="33">
        <f t="shared" si="1"/>
        <v>0.8473370947</v>
      </c>
      <c r="J43" s="33">
        <f t="shared" si="2"/>
        <v>127.9361437</v>
      </c>
      <c r="K43" s="30"/>
      <c r="L43" s="33">
        <f t="shared" si="3"/>
        <v>127.9361437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0.0" customHeight="1">
      <c r="A44" s="41">
        <v>38.0</v>
      </c>
      <c r="B44" s="30" t="s">
        <v>111</v>
      </c>
      <c r="C44" s="30"/>
      <c r="D44" s="30" t="s">
        <v>94</v>
      </c>
      <c r="E44" s="31">
        <v>45333.0</v>
      </c>
      <c r="F44" s="31"/>
      <c r="G44" s="33">
        <v>41.0133149387635</v>
      </c>
      <c r="H44" s="32">
        <v>10.0</v>
      </c>
      <c r="I44" s="33">
        <f t="shared" si="1"/>
        <v>0.340410514</v>
      </c>
      <c r="J44" s="33">
        <f t="shared" si="2"/>
        <v>51.35372545</v>
      </c>
      <c r="K44" s="30"/>
      <c r="L44" s="33">
        <f t="shared" si="3"/>
        <v>51.35372545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0.0" customHeight="1">
      <c r="A45" s="41">
        <v>39.0</v>
      </c>
      <c r="B45" s="30" t="s">
        <v>112</v>
      </c>
      <c r="C45" s="30"/>
      <c r="D45" s="30" t="s">
        <v>94</v>
      </c>
      <c r="E45" s="31">
        <v>45245.0</v>
      </c>
      <c r="F45" s="31"/>
      <c r="G45" s="33">
        <v>20.41776131787</v>
      </c>
      <c r="H45" s="32"/>
      <c r="I45" s="33">
        <f t="shared" si="1"/>
        <v>0.1694674189</v>
      </c>
      <c r="J45" s="33">
        <f t="shared" si="2"/>
        <v>20.58722874</v>
      </c>
      <c r="K45" s="30"/>
      <c r="L45" s="33">
        <f t="shared" si="3"/>
        <v>20.58722874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0.0" customHeight="1">
      <c r="A46" s="41">
        <v>40.0</v>
      </c>
      <c r="B46" s="30" t="s">
        <v>116</v>
      </c>
      <c r="C46" s="30"/>
      <c r="D46" s="30" t="s">
        <v>94</v>
      </c>
      <c r="E46" s="31">
        <v>45316.0</v>
      </c>
      <c r="F46" s="31"/>
      <c r="G46" s="33">
        <v>10.0</v>
      </c>
      <c r="H46" s="32"/>
      <c r="I46" s="33">
        <f t="shared" si="1"/>
        <v>0.083</v>
      </c>
      <c r="J46" s="33">
        <f t="shared" si="2"/>
        <v>10.083</v>
      </c>
      <c r="K46" s="30"/>
      <c r="L46" s="33">
        <f t="shared" si="3"/>
        <v>10.083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0.0" customHeight="1">
      <c r="A47" s="41">
        <v>41.0</v>
      </c>
      <c r="B47" s="30" t="s">
        <v>117</v>
      </c>
      <c r="C47" s="30"/>
      <c r="D47" s="30" t="s">
        <v>94</v>
      </c>
      <c r="E47" s="31">
        <v>45324.0</v>
      </c>
      <c r="F47" s="31"/>
      <c r="G47" s="33">
        <v>50.0</v>
      </c>
      <c r="H47" s="32">
        <v>50.0</v>
      </c>
      <c r="I47" s="33">
        <f t="shared" si="1"/>
        <v>0.415</v>
      </c>
      <c r="J47" s="33">
        <f t="shared" si="2"/>
        <v>100.415</v>
      </c>
      <c r="K47" s="30"/>
      <c r="L47" s="33">
        <f t="shared" si="3"/>
        <v>100.415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0.0" customHeight="1">
      <c r="A48" s="41">
        <v>42.0</v>
      </c>
      <c r="B48" s="30" t="s">
        <v>118</v>
      </c>
      <c r="C48" s="30"/>
      <c r="D48" s="30" t="s">
        <v>94</v>
      </c>
      <c r="E48" s="31">
        <v>45303.0</v>
      </c>
      <c r="F48" s="31"/>
      <c r="G48" s="33">
        <v>20.0</v>
      </c>
      <c r="H48" s="32"/>
      <c r="I48" s="33">
        <f t="shared" si="1"/>
        <v>0.166</v>
      </c>
      <c r="J48" s="33">
        <f t="shared" si="2"/>
        <v>20.166</v>
      </c>
      <c r="K48" s="30"/>
      <c r="L48" s="33">
        <f t="shared" si="3"/>
        <v>20.166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0.0" customHeight="1">
      <c r="A49" s="41">
        <v>43.0</v>
      </c>
      <c r="B49" s="30" t="s">
        <v>120</v>
      </c>
      <c r="C49" s="30"/>
      <c r="D49" s="30" t="s">
        <v>94</v>
      </c>
      <c r="E49" s="31">
        <v>45324.0</v>
      </c>
      <c r="F49" s="31"/>
      <c r="G49" s="32">
        <v>10.0</v>
      </c>
      <c r="H49" s="32"/>
      <c r="I49" s="33"/>
      <c r="J49" s="33">
        <f t="shared" si="2"/>
        <v>10</v>
      </c>
      <c r="K49" s="30"/>
      <c r="L49" s="33">
        <f t="shared" si="3"/>
        <v>10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0.0" customHeight="1">
      <c r="A50" s="41">
        <v>44.0</v>
      </c>
      <c r="B50" s="30" t="s">
        <v>121</v>
      </c>
      <c r="C50" s="30"/>
      <c r="D50" s="30" t="s">
        <v>94</v>
      </c>
      <c r="E50" s="31">
        <v>45324.0</v>
      </c>
      <c r="F50" s="31"/>
      <c r="G50" s="32">
        <v>10.0</v>
      </c>
      <c r="H50" s="32"/>
      <c r="I50" s="33"/>
      <c r="J50" s="33">
        <f t="shared" si="2"/>
        <v>10</v>
      </c>
      <c r="K50" s="30"/>
      <c r="L50" s="33">
        <f t="shared" si="3"/>
        <v>10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0.0" customHeight="1">
      <c r="A51" s="41">
        <v>45.0</v>
      </c>
      <c r="B51" s="30" t="s">
        <v>122</v>
      </c>
      <c r="C51" s="30"/>
      <c r="D51" s="30" t="s">
        <v>94</v>
      </c>
      <c r="E51" s="31">
        <v>45698.0</v>
      </c>
      <c r="F51" s="31"/>
      <c r="G51" s="32">
        <v>10.0</v>
      </c>
      <c r="H51" s="32"/>
      <c r="I51" s="33"/>
      <c r="J51" s="33">
        <f t="shared" si="2"/>
        <v>10</v>
      </c>
      <c r="K51" s="30"/>
      <c r="L51" s="33">
        <f t="shared" si="3"/>
        <v>10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1"/>
      <c r="B52" s="13"/>
      <c r="C52" s="13"/>
      <c r="D52" s="13"/>
      <c r="E52" s="14"/>
      <c r="F52" s="14"/>
      <c r="G52" s="13"/>
      <c r="H52" s="13"/>
      <c r="I52" s="16"/>
      <c r="J52" s="16"/>
      <c r="K52" s="13"/>
      <c r="L52" s="1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7"/>
      <c r="B53" s="13"/>
      <c r="C53" s="13"/>
      <c r="D53" s="13"/>
      <c r="E53" s="13"/>
      <c r="F53" s="13"/>
      <c r="G53" s="18">
        <f>SUM(G7:G48)</f>
        <v>42426.03414</v>
      </c>
      <c r="H53" s="18">
        <f t="shared" ref="H53:I53" si="4">SUM(H7:H47)</f>
        <v>705.6</v>
      </c>
      <c r="I53" s="18">
        <f t="shared" si="4"/>
        <v>351.9700833</v>
      </c>
      <c r="J53" s="18">
        <f>SUM(J7:J48)</f>
        <v>43483.77022</v>
      </c>
      <c r="K53" s="18">
        <f>SUM(K7:K47)</f>
        <v>0</v>
      </c>
      <c r="L53" s="18">
        <f>SUM(L7:L48)</f>
        <v>43483.77022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2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49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10.29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123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41">
        <v>1.0</v>
      </c>
      <c r="B7" s="30" t="s">
        <v>46</v>
      </c>
      <c r="C7" s="30" t="s">
        <v>91</v>
      </c>
      <c r="D7" s="30" t="s">
        <v>92</v>
      </c>
      <c r="E7" s="31">
        <v>45235.0</v>
      </c>
      <c r="F7" s="31"/>
      <c r="G7" s="32">
        <v>4318.237238664698</v>
      </c>
      <c r="H7" s="32"/>
      <c r="I7" s="33">
        <f t="shared" ref="I7:I51" si="1">G7*0.83%</f>
        <v>35.84136908</v>
      </c>
      <c r="J7" s="33">
        <f t="shared" ref="J7:J56" si="2">G7+H7+I7</f>
        <v>4354.078608</v>
      </c>
      <c r="K7" s="30"/>
      <c r="L7" s="33">
        <f t="shared" ref="L7:L56" si="3">J7-K7</f>
        <v>4354.078608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45362.0</v>
      </c>
      <c r="F8" s="31"/>
      <c r="G8" s="32">
        <v>6824.644699515543</v>
      </c>
      <c r="H8" s="32">
        <v>30.0</v>
      </c>
      <c r="I8" s="33">
        <f t="shared" si="1"/>
        <v>56.64455101</v>
      </c>
      <c r="J8" s="33">
        <f t="shared" si="2"/>
        <v>6911.289251</v>
      </c>
      <c r="K8" s="30"/>
      <c r="L8" s="33">
        <f t="shared" si="3"/>
        <v>6911.289251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45361.0</v>
      </c>
      <c r="F9" s="31"/>
      <c r="G9" s="32">
        <v>6724.704284738376</v>
      </c>
      <c r="H9" s="32">
        <v>50.0</v>
      </c>
      <c r="I9" s="33">
        <f t="shared" si="1"/>
        <v>55.81504556</v>
      </c>
      <c r="J9" s="33">
        <f t="shared" si="2"/>
        <v>6830.51933</v>
      </c>
      <c r="K9" s="30"/>
      <c r="L9" s="33">
        <f t="shared" si="3"/>
        <v>6830.51933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32">
        <v>2927.7609441263876</v>
      </c>
      <c r="H10" s="32"/>
      <c r="I10" s="32">
        <f t="shared" si="1"/>
        <v>24.30041584</v>
      </c>
      <c r="J10" s="32">
        <f t="shared" si="2"/>
        <v>2952.06136</v>
      </c>
      <c r="K10" s="34"/>
      <c r="L10" s="32">
        <f t="shared" si="3"/>
        <v>2952.06136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45239.0</v>
      </c>
      <c r="F11" s="35"/>
      <c r="G11" s="32">
        <v>440.1637702835029</v>
      </c>
      <c r="H11" s="32"/>
      <c r="I11" s="32">
        <f t="shared" si="1"/>
        <v>3.653359293</v>
      </c>
      <c r="J11" s="32">
        <f t="shared" si="2"/>
        <v>443.8171296</v>
      </c>
      <c r="K11" s="34"/>
      <c r="L11" s="32">
        <f t="shared" si="3"/>
        <v>443.8171296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45270.0</v>
      </c>
      <c r="F12" s="35"/>
      <c r="G12" s="32">
        <v>2488.5836918611867</v>
      </c>
      <c r="H12" s="32">
        <v>25.0</v>
      </c>
      <c r="I12" s="32">
        <f t="shared" si="1"/>
        <v>20.65524464</v>
      </c>
      <c r="J12" s="32">
        <f t="shared" si="2"/>
        <v>2534.238937</v>
      </c>
      <c r="K12" s="34"/>
      <c r="L12" s="32">
        <f t="shared" si="3"/>
        <v>2534.238937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45361.0</v>
      </c>
      <c r="F13" s="31"/>
      <c r="G13" s="32">
        <v>6574.830715295694</v>
      </c>
      <c r="H13" s="32">
        <v>53.92</v>
      </c>
      <c r="I13" s="33">
        <f t="shared" si="1"/>
        <v>54.57109494</v>
      </c>
      <c r="J13" s="33">
        <f t="shared" si="2"/>
        <v>6683.32181</v>
      </c>
      <c r="K13" s="30"/>
      <c r="L13" s="33">
        <f t="shared" si="3"/>
        <v>6683.32181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45359.0</v>
      </c>
      <c r="F14" s="31"/>
      <c r="G14" s="32">
        <v>6134.261939553567</v>
      </c>
      <c r="H14" s="32">
        <v>100.0</v>
      </c>
      <c r="I14" s="33">
        <f t="shared" si="1"/>
        <v>50.9143741</v>
      </c>
      <c r="J14" s="33">
        <f t="shared" si="2"/>
        <v>6285.176314</v>
      </c>
      <c r="K14" s="30"/>
      <c r="L14" s="33">
        <f t="shared" si="3"/>
        <v>6285.176314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41">
        <v>9.0</v>
      </c>
      <c r="B15" s="30" t="s">
        <v>49</v>
      </c>
      <c r="C15" s="30" t="s">
        <v>91</v>
      </c>
      <c r="D15" s="30" t="s">
        <v>94</v>
      </c>
      <c r="E15" s="31">
        <v>45331.0</v>
      </c>
      <c r="F15" s="31" t="s">
        <v>38</v>
      </c>
      <c r="G15" s="32">
        <v>68.33758771874695</v>
      </c>
      <c r="H15" s="32">
        <v>10.0</v>
      </c>
      <c r="I15" s="33">
        <f t="shared" si="1"/>
        <v>0.5672019781</v>
      </c>
      <c r="J15" s="33">
        <f t="shared" si="2"/>
        <v>78.9047897</v>
      </c>
      <c r="K15" s="30"/>
      <c r="L15" s="33">
        <f t="shared" si="3"/>
        <v>78.9047897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10.0</v>
      </c>
      <c r="B16" s="30" t="s">
        <v>58</v>
      </c>
      <c r="C16" s="30" t="s">
        <v>93</v>
      </c>
      <c r="D16" s="30" t="s">
        <v>94</v>
      </c>
      <c r="E16" s="31">
        <v>45362.0</v>
      </c>
      <c r="F16" s="31" t="s">
        <v>39</v>
      </c>
      <c r="G16" s="32">
        <v>210.10224226421337</v>
      </c>
      <c r="H16" s="32">
        <v>20.0</v>
      </c>
      <c r="I16" s="33">
        <f t="shared" si="1"/>
        <v>1.743848611</v>
      </c>
      <c r="J16" s="33">
        <f t="shared" si="2"/>
        <v>231.8460909</v>
      </c>
      <c r="K16" s="30"/>
      <c r="L16" s="33">
        <f t="shared" si="3"/>
        <v>231.8460909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11.0</v>
      </c>
      <c r="B17" s="30" t="s">
        <v>51</v>
      </c>
      <c r="C17" s="30" t="s">
        <v>91</v>
      </c>
      <c r="D17" s="30" t="s">
        <v>94</v>
      </c>
      <c r="E17" s="31">
        <v>45294.0</v>
      </c>
      <c r="F17" s="31" t="s">
        <v>34</v>
      </c>
      <c r="G17" s="32">
        <v>94.61924557977132</v>
      </c>
      <c r="H17" s="32"/>
      <c r="I17" s="33">
        <f t="shared" si="1"/>
        <v>0.7853397383</v>
      </c>
      <c r="J17" s="33">
        <f t="shared" si="2"/>
        <v>95.40458532</v>
      </c>
      <c r="K17" s="30"/>
      <c r="L17" s="33">
        <f t="shared" si="3"/>
        <v>95.40458532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32">
        <v>82.36798746791992</v>
      </c>
      <c r="H18" s="32"/>
      <c r="I18" s="33">
        <f t="shared" si="1"/>
        <v>0.683654296</v>
      </c>
      <c r="J18" s="33">
        <f t="shared" si="2"/>
        <v>83.05164176</v>
      </c>
      <c r="K18" s="30"/>
      <c r="L18" s="33">
        <f t="shared" si="3"/>
        <v>83.05164176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13.0</v>
      </c>
      <c r="B19" s="30" t="s">
        <v>72</v>
      </c>
      <c r="C19" s="30" t="s">
        <v>91</v>
      </c>
      <c r="D19" s="30" t="s">
        <v>94</v>
      </c>
      <c r="E19" s="31">
        <v>45240.0</v>
      </c>
      <c r="F19" s="31" t="s">
        <v>38</v>
      </c>
      <c r="G19" s="32">
        <v>147.67930860571556</v>
      </c>
      <c r="H19" s="32">
        <v>20.0</v>
      </c>
      <c r="I19" s="33">
        <f t="shared" si="1"/>
        <v>1.225738261</v>
      </c>
      <c r="J19" s="33">
        <f t="shared" si="2"/>
        <v>168.9050469</v>
      </c>
      <c r="K19" s="30"/>
      <c r="L19" s="33">
        <f t="shared" si="3"/>
        <v>168.9050469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41">
        <v>14.0</v>
      </c>
      <c r="B20" s="34" t="s">
        <v>54</v>
      </c>
      <c r="C20" s="34" t="s">
        <v>91</v>
      </c>
      <c r="D20" s="30" t="s">
        <v>94</v>
      </c>
      <c r="E20" s="35">
        <v>45357.0</v>
      </c>
      <c r="F20" s="35" t="s">
        <v>34</v>
      </c>
      <c r="G20" s="32">
        <v>948.1295543574241</v>
      </c>
      <c r="H20" s="32">
        <v>100.0</v>
      </c>
      <c r="I20" s="32">
        <f t="shared" si="1"/>
        <v>7.869475301</v>
      </c>
      <c r="J20" s="32">
        <f t="shared" si="2"/>
        <v>1055.99903</v>
      </c>
      <c r="K20" s="34"/>
      <c r="L20" s="32">
        <f t="shared" si="3"/>
        <v>1055.99903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41">
        <v>15.0</v>
      </c>
      <c r="B21" s="30" t="s">
        <v>55</v>
      </c>
      <c r="C21" s="30" t="s">
        <v>91</v>
      </c>
      <c r="D21" s="30" t="s">
        <v>94</v>
      </c>
      <c r="E21" s="31">
        <v>45294.0</v>
      </c>
      <c r="F21" s="31" t="s">
        <v>33</v>
      </c>
      <c r="G21" s="32">
        <v>110.9979364227467</v>
      </c>
      <c r="H21" s="32">
        <v>15.0</v>
      </c>
      <c r="I21" s="33">
        <f t="shared" si="1"/>
        <v>0.9212828723</v>
      </c>
      <c r="J21" s="33">
        <f t="shared" si="2"/>
        <v>126.9192193</v>
      </c>
      <c r="K21" s="30"/>
      <c r="L21" s="33">
        <f t="shared" si="3"/>
        <v>126.9192193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16.0</v>
      </c>
      <c r="B22" s="30" t="s">
        <v>40</v>
      </c>
      <c r="C22" s="30" t="s">
        <v>91</v>
      </c>
      <c r="D22" s="30" t="s">
        <v>94</v>
      </c>
      <c r="E22" s="31">
        <v>45325.0</v>
      </c>
      <c r="F22" s="31" t="s">
        <v>38</v>
      </c>
      <c r="G22" s="32">
        <v>1032.1659179580604</v>
      </c>
      <c r="H22" s="32">
        <v>100.0</v>
      </c>
      <c r="I22" s="33">
        <f t="shared" si="1"/>
        <v>8.566977119</v>
      </c>
      <c r="J22" s="33">
        <f t="shared" si="2"/>
        <v>1140.732895</v>
      </c>
      <c r="K22" s="30"/>
      <c r="L22" s="33">
        <f t="shared" si="3"/>
        <v>1140.732895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17.0</v>
      </c>
      <c r="B23" s="34" t="s">
        <v>41</v>
      </c>
      <c r="C23" s="34" t="s">
        <v>91</v>
      </c>
      <c r="D23" s="30" t="s">
        <v>94</v>
      </c>
      <c r="E23" s="35">
        <v>45324.0</v>
      </c>
      <c r="F23" s="35" t="s">
        <v>34</v>
      </c>
      <c r="G23" s="32">
        <v>182.51470030815221</v>
      </c>
      <c r="H23" s="39">
        <v>30.0</v>
      </c>
      <c r="I23" s="32">
        <f t="shared" si="1"/>
        <v>1.514872013</v>
      </c>
      <c r="J23" s="32">
        <f t="shared" si="2"/>
        <v>214.0295723</v>
      </c>
      <c r="K23" s="34"/>
      <c r="L23" s="32">
        <f t="shared" si="3"/>
        <v>214.0295723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18.0</v>
      </c>
      <c r="B24" s="30" t="s">
        <v>95</v>
      </c>
      <c r="C24" s="30" t="s">
        <v>93</v>
      </c>
      <c r="D24" s="30" t="s">
        <v>94</v>
      </c>
      <c r="E24" s="31">
        <v>45330.0</v>
      </c>
      <c r="F24" s="31" t="s">
        <v>39</v>
      </c>
      <c r="G24" s="32">
        <v>407.2107117404439</v>
      </c>
      <c r="H24" s="39">
        <v>50.0</v>
      </c>
      <c r="I24" s="33">
        <f t="shared" si="1"/>
        <v>3.379848907</v>
      </c>
      <c r="J24" s="33">
        <f t="shared" si="2"/>
        <v>460.5905606</v>
      </c>
      <c r="K24" s="30"/>
      <c r="L24" s="33">
        <f t="shared" si="3"/>
        <v>460.5905606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19.0</v>
      </c>
      <c r="B25" s="30" t="s">
        <v>96</v>
      </c>
      <c r="C25" s="30" t="s">
        <v>91</v>
      </c>
      <c r="D25" s="30" t="s">
        <v>94</v>
      </c>
      <c r="E25" s="31">
        <v>45240.0</v>
      </c>
      <c r="F25" s="31" t="s">
        <v>33</v>
      </c>
      <c r="G25" s="32">
        <v>100.4794114595015</v>
      </c>
      <c r="H25" s="39">
        <v>20.0</v>
      </c>
      <c r="I25" s="33">
        <f t="shared" si="1"/>
        <v>0.8339791151</v>
      </c>
      <c r="J25" s="33">
        <f t="shared" si="2"/>
        <v>121.3133906</v>
      </c>
      <c r="K25" s="30"/>
      <c r="L25" s="33">
        <f t="shared" si="3"/>
        <v>121.3133906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>
        <v>45325.0</v>
      </c>
      <c r="F26" s="31" t="s">
        <v>34</v>
      </c>
      <c r="G26" s="32">
        <v>67.28575867314522</v>
      </c>
      <c r="H26" s="39">
        <v>5.0</v>
      </c>
      <c r="I26" s="33">
        <f t="shared" si="1"/>
        <v>0.558471797</v>
      </c>
      <c r="J26" s="33">
        <f t="shared" si="2"/>
        <v>72.84423047</v>
      </c>
      <c r="K26" s="30"/>
      <c r="L26" s="33">
        <f t="shared" si="3"/>
        <v>72.84423047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32">
        <v>113.26401618688425</v>
      </c>
      <c r="H27" s="39"/>
      <c r="I27" s="32">
        <f t="shared" si="1"/>
        <v>0.9400913344</v>
      </c>
      <c r="J27" s="32">
        <f t="shared" si="2"/>
        <v>114.2041075</v>
      </c>
      <c r="K27" s="34"/>
      <c r="L27" s="32">
        <f t="shared" si="3"/>
        <v>114.2041075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32">
        <v>133.34893246177288</v>
      </c>
      <c r="H28" s="39"/>
      <c r="I28" s="33">
        <f t="shared" si="1"/>
        <v>1.106796139</v>
      </c>
      <c r="J28" s="33">
        <f t="shared" si="2"/>
        <v>134.4557286</v>
      </c>
      <c r="K28" s="30"/>
      <c r="L28" s="33">
        <f t="shared" si="3"/>
        <v>134.4557286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45334.0</v>
      </c>
      <c r="F29" s="31" t="s">
        <v>39</v>
      </c>
      <c r="G29" s="32">
        <v>619.0662704629424</v>
      </c>
      <c r="H29" s="39">
        <v>50.0</v>
      </c>
      <c r="I29" s="33">
        <f t="shared" si="1"/>
        <v>5.138250045</v>
      </c>
      <c r="J29" s="33">
        <f t="shared" si="2"/>
        <v>674.2045205</v>
      </c>
      <c r="K29" s="30"/>
      <c r="L29" s="33">
        <f t="shared" si="3"/>
        <v>674.2045205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45361.0</v>
      </c>
      <c r="F30" s="31" t="s">
        <v>40</v>
      </c>
      <c r="G30" s="32">
        <v>431.94419435341206</v>
      </c>
      <c r="H30" s="39">
        <v>100.0</v>
      </c>
      <c r="I30" s="33">
        <f t="shared" si="1"/>
        <v>3.585136813</v>
      </c>
      <c r="J30" s="33">
        <f t="shared" si="2"/>
        <v>535.5293312</v>
      </c>
      <c r="K30" s="30"/>
      <c r="L30" s="33">
        <f t="shared" si="3"/>
        <v>535.5293312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45059.0</v>
      </c>
      <c r="F31" s="31" t="s">
        <v>39</v>
      </c>
      <c r="G31" s="32">
        <v>21.54457346147193</v>
      </c>
      <c r="H31" s="39">
        <v>10.0</v>
      </c>
      <c r="I31" s="33">
        <f t="shared" si="1"/>
        <v>0.1788199597</v>
      </c>
      <c r="J31" s="33">
        <f t="shared" si="2"/>
        <v>31.72339342</v>
      </c>
      <c r="K31" s="30"/>
      <c r="L31" s="33">
        <f t="shared" si="3"/>
        <v>31.72339342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32">
        <v>63.325329149022856</v>
      </c>
      <c r="H32" s="39"/>
      <c r="I32" s="33">
        <f t="shared" si="1"/>
        <v>0.5256002319</v>
      </c>
      <c r="J32" s="33">
        <f t="shared" si="2"/>
        <v>63.85092938</v>
      </c>
      <c r="K32" s="30"/>
      <c r="L32" s="33">
        <f t="shared" si="3"/>
        <v>63.85092938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32">
        <v>211.91337389572266</v>
      </c>
      <c r="H33" s="39"/>
      <c r="I33" s="33">
        <f t="shared" si="1"/>
        <v>1.758881003</v>
      </c>
      <c r="J33" s="33">
        <f t="shared" si="2"/>
        <v>213.6722549</v>
      </c>
      <c r="K33" s="30"/>
      <c r="L33" s="33">
        <f t="shared" si="3"/>
        <v>213.6722549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45330.0</v>
      </c>
      <c r="F34" s="31" t="s">
        <v>39</v>
      </c>
      <c r="G34" s="32">
        <v>35.798201945001075</v>
      </c>
      <c r="H34" s="32"/>
      <c r="I34" s="33">
        <f t="shared" si="1"/>
        <v>0.2971250761</v>
      </c>
      <c r="J34" s="33">
        <f t="shared" si="2"/>
        <v>36.09532702</v>
      </c>
      <c r="K34" s="30"/>
      <c r="L34" s="33">
        <f t="shared" si="3"/>
        <v>36.09532702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45235.0</v>
      </c>
      <c r="F35" s="31" t="s">
        <v>35</v>
      </c>
      <c r="G35" s="32">
        <v>1026.3870312849192</v>
      </c>
      <c r="H35" s="32"/>
      <c r="I35" s="33">
        <f t="shared" si="1"/>
        <v>8.51901236</v>
      </c>
      <c r="J35" s="33">
        <f t="shared" si="2"/>
        <v>1034.906044</v>
      </c>
      <c r="K35" s="30"/>
      <c r="L35" s="33">
        <f t="shared" si="3"/>
        <v>1034.906044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32">
        <v>15.419853867127753</v>
      </c>
      <c r="H36" s="32"/>
      <c r="I36" s="33">
        <f t="shared" si="1"/>
        <v>0.1279847871</v>
      </c>
      <c r="J36" s="33">
        <f t="shared" si="2"/>
        <v>15.54783865</v>
      </c>
      <c r="K36" s="30"/>
      <c r="L36" s="33">
        <f t="shared" si="3"/>
        <v>15.54783865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0.0" customHeight="1">
      <c r="A37" s="41">
        <v>31.0</v>
      </c>
      <c r="B37" s="30" t="s">
        <v>104</v>
      </c>
      <c r="C37" s="30"/>
      <c r="D37" s="30" t="s">
        <v>94</v>
      </c>
      <c r="E37" s="31">
        <v>45331.0</v>
      </c>
      <c r="F37" s="31"/>
      <c r="G37" s="32">
        <v>76.25537645521248</v>
      </c>
      <c r="H37" s="32"/>
      <c r="I37" s="33">
        <f t="shared" si="1"/>
        <v>0.6329196246</v>
      </c>
      <c r="J37" s="33">
        <f t="shared" si="2"/>
        <v>76.88829608</v>
      </c>
      <c r="K37" s="30"/>
      <c r="L37" s="33">
        <f t="shared" si="3"/>
        <v>76.88829608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32.0</v>
      </c>
      <c r="B38" s="30" t="s">
        <v>105</v>
      </c>
      <c r="C38" s="30"/>
      <c r="D38" s="30" t="s">
        <v>94</v>
      </c>
      <c r="E38" s="31">
        <v>45294.0</v>
      </c>
      <c r="F38" s="31"/>
      <c r="G38" s="32">
        <v>189.4443578572532</v>
      </c>
      <c r="H38" s="32">
        <v>15.0</v>
      </c>
      <c r="I38" s="33">
        <f t="shared" si="1"/>
        <v>1.57238817</v>
      </c>
      <c r="J38" s="33">
        <f t="shared" si="2"/>
        <v>206.016746</v>
      </c>
      <c r="K38" s="30"/>
      <c r="L38" s="33">
        <f t="shared" si="3"/>
        <v>206.016746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33.0</v>
      </c>
      <c r="B39" s="30" t="s">
        <v>106</v>
      </c>
      <c r="C39" s="30"/>
      <c r="D39" s="30" t="s">
        <v>94</v>
      </c>
      <c r="E39" s="31">
        <v>45334.0</v>
      </c>
      <c r="F39" s="31"/>
      <c r="G39" s="32">
        <v>50.836917636808316</v>
      </c>
      <c r="H39" s="32">
        <v>10.0</v>
      </c>
      <c r="I39" s="33">
        <f t="shared" si="1"/>
        <v>0.4219464164</v>
      </c>
      <c r="J39" s="33">
        <f t="shared" si="2"/>
        <v>61.25886405</v>
      </c>
      <c r="K39" s="30"/>
      <c r="L39" s="33">
        <f t="shared" si="3"/>
        <v>61.25886405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0.0" customHeight="1">
      <c r="A40" s="41">
        <v>34.0</v>
      </c>
      <c r="B40" s="30" t="s">
        <v>107</v>
      </c>
      <c r="C40" s="30"/>
      <c r="D40" s="30" t="s">
        <v>94</v>
      </c>
      <c r="E40" s="31">
        <v>45360.0</v>
      </c>
      <c r="F40" s="31"/>
      <c r="G40" s="32">
        <v>101.67383527361663</v>
      </c>
      <c r="H40" s="32">
        <v>50.0</v>
      </c>
      <c r="I40" s="33">
        <f t="shared" si="1"/>
        <v>0.8438928328</v>
      </c>
      <c r="J40" s="33">
        <f t="shared" si="2"/>
        <v>152.5177281</v>
      </c>
      <c r="K40" s="30"/>
      <c r="L40" s="33">
        <f t="shared" si="3"/>
        <v>152.5177281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0.0" customHeight="1">
      <c r="A41" s="41">
        <v>35.0</v>
      </c>
      <c r="B41" s="30" t="s">
        <v>108</v>
      </c>
      <c r="C41" s="30"/>
      <c r="D41" s="30" t="s">
        <v>94</v>
      </c>
      <c r="E41" s="31">
        <v>45330.0</v>
      </c>
      <c r="F41" s="31"/>
      <c r="G41" s="32">
        <v>50.836917636808316</v>
      </c>
      <c r="H41" s="32"/>
      <c r="I41" s="33">
        <f t="shared" si="1"/>
        <v>0.4219464164</v>
      </c>
      <c r="J41" s="33">
        <f t="shared" si="2"/>
        <v>51.25886405</v>
      </c>
      <c r="K41" s="30"/>
      <c r="L41" s="33">
        <f t="shared" si="3"/>
        <v>51.25886405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0.0" customHeight="1">
      <c r="A42" s="41">
        <v>36.0</v>
      </c>
      <c r="B42" s="30" t="s">
        <v>109</v>
      </c>
      <c r="C42" s="30"/>
      <c r="D42" s="30" t="s">
        <v>94</v>
      </c>
      <c r="E42" s="31">
        <v>45372.0</v>
      </c>
      <c r="F42" s="31"/>
      <c r="G42" s="32">
        <v>127.09229409202082</v>
      </c>
      <c r="H42" s="32">
        <v>10.0</v>
      </c>
      <c r="I42" s="33">
        <f t="shared" si="1"/>
        <v>1.054866041</v>
      </c>
      <c r="J42" s="33">
        <f t="shared" si="2"/>
        <v>138.1471601</v>
      </c>
      <c r="K42" s="30"/>
      <c r="L42" s="33">
        <f t="shared" si="3"/>
        <v>138.1471601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0.0" customHeight="1">
      <c r="A43" s="41">
        <v>37.0</v>
      </c>
      <c r="B43" s="30" t="s">
        <v>110</v>
      </c>
      <c r="C43" s="30"/>
      <c r="D43" s="30" t="s">
        <v>94</v>
      </c>
      <c r="E43" s="31">
        <v>45334.0</v>
      </c>
      <c r="F43" s="31"/>
      <c r="G43" s="32">
        <v>127.93614368404161</v>
      </c>
      <c r="H43" s="32">
        <v>10.0</v>
      </c>
      <c r="I43" s="33">
        <f t="shared" si="1"/>
        <v>1.061869993</v>
      </c>
      <c r="J43" s="33">
        <f t="shared" si="2"/>
        <v>138.9980137</v>
      </c>
      <c r="K43" s="30"/>
      <c r="L43" s="33">
        <f t="shared" si="3"/>
        <v>138.9980137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0.0" customHeight="1">
      <c r="A44" s="41">
        <v>38.0</v>
      </c>
      <c r="B44" s="30" t="s">
        <v>111</v>
      </c>
      <c r="C44" s="30"/>
      <c r="D44" s="30" t="s">
        <v>94</v>
      </c>
      <c r="E44" s="31">
        <v>45333.0</v>
      </c>
      <c r="F44" s="31"/>
      <c r="G44" s="32">
        <v>51.353725452755235</v>
      </c>
      <c r="H44" s="32"/>
      <c r="I44" s="33">
        <f t="shared" si="1"/>
        <v>0.4262359213</v>
      </c>
      <c r="J44" s="33">
        <f t="shared" si="2"/>
        <v>51.77996137</v>
      </c>
      <c r="K44" s="30"/>
      <c r="L44" s="33">
        <f t="shared" si="3"/>
        <v>51.77996137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0.0" customHeight="1">
      <c r="A45" s="41">
        <v>39.0</v>
      </c>
      <c r="B45" s="30" t="s">
        <v>112</v>
      </c>
      <c r="C45" s="30"/>
      <c r="D45" s="30" t="s">
        <v>94</v>
      </c>
      <c r="E45" s="31">
        <v>45245.0</v>
      </c>
      <c r="F45" s="31"/>
      <c r="G45" s="32">
        <v>20.58722873680832</v>
      </c>
      <c r="H45" s="32"/>
      <c r="I45" s="33">
        <f t="shared" si="1"/>
        <v>0.1708739985</v>
      </c>
      <c r="J45" s="33">
        <f t="shared" si="2"/>
        <v>20.75810274</v>
      </c>
      <c r="K45" s="30"/>
      <c r="L45" s="33">
        <f t="shared" si="3"/>
        <v>20.75810274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0.0" customHeight="1">
      <c r="A46" s="41">
        <v>40.0</v>
      </c>
      <c r="B46" s="30" t="s">
        <v>116</v>
      </c>
      <c r="C46" s="30"/>
      <c r="D46" s="30" t="s">
        <v>94</v>
      </c>
      <c r="E46" s="31">
        <v>45293.0</v>
      </c>
      <c r="F46" s="31"/>
      <c r="G46" s="32">
        <v>10.083</v>
      </c>
      <c r="H46" s="32"/>
      <c r="I46" s="33">
        <f t="shared" si="1"/>
        <v>0.0836889</v>
      </c>
      <c r="J46" s="33">
        <f t="shared" si="2"/>
        <v>10.1666889</v>
      </c>
      <c r="K46" s="30"/>
      <c r="L46" s="33">
        <f t="shared" si="3"/>
        <v>10.1666889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0.0" customHeight="1">
      <c r="A47" s="41">
        <v>41.0</v>
      </c>
      <c r="B47" s="30" t="s">
        <v>117</v>
      </c>
      <c r="C47" s="30"/>
      <c r="D47" s="30" t="s">
        <v>94</v>
      </c>
      <c r="E47" s="31">
        <v>45324.0</v>
      </c>
      <c r="F47" s="31"/>
      <c r="G47" s="32">
        <v>100.415</v>
      </c>
      <c r="H47" s="32">
        <v>50.0</v>
      </c>
      <c r="I47" s="33">
        <f t="shared" si="1"/>
        <v>0.8334445</v>
      </c>
      <c r="J47" s="33">
        <f t="shared" si="2"/>
        <v>151.2484445</v>
      </c>
      <c r="K47" s="30"/>
      <c r="L47" s="33">
        <f t="shared" si="3"/>
        <v>151.2484445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0.0" customHeight="1">
      <c r="A48" s="41">
        <v>42.0</v>
      </c>
      <c r="B48" s="30" t="s">
        <v>118</v>
      </c>
      <c r="C48" s="30"/>
      <c r="D48" s="30" t="s">
        <v>94</v>
      </c>
      <c r="E48" s="31">
        <v>45303.0</v>
      </c>
      <c r="F48" s="31"/>
      <c r="G48" s="32">
        <v>20.166</v>
      </c>
      <c r="H48" s="32"/>
      <c r="I48" s="33">
        <f t="shared" si="1"/>
        <v>0.1673778</v>
      </c>
      <c r="J48" s="33">
        <f t="shared" si="2"/>
        <v>20.3333778</v>
      </c>
      <c r="K48" s="30"/>
      <c r="L48" s="33">
        <f t="shared" si="3"/>
        <v>20.3333778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0.0" customHeight="1">
      <c r="A49" s="41">
        <v>43.0</v>
      </c>
      <c r="B49" s="30" t="s">
        <v>120</v>
      </c>
      <c r="C49" s="30"/>
      <c r="D49" s="30" t="s">
        <v>94</v>
      </c>
      <c r="E49" s="31">
        <v>45324.0</v>
      </c>
      <c r="F49" s="31"/>
      <c r="G49" s="32">
        <v>10.0</v>
      </c>
      <c r="H49" s="32">
        <v>10.0</v>
      </c>
      <c r="I49" s="33">
        <f t="shared" si="1"/>
        <v>0.083</v>
      </c>
      <c r="J49" s="33">
        <f t="shared" si="2"/>
        <v>20.083</v>
      </c>
      <c r="K49" s="30"/>
      <c r="L49" s="33">
        <f t="shared" si="3"/>
        <v>20.083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0.0" customHeight="1">
      <c r="A50" s="41">
        <v>44.0</v>
      </c>
      <c r="B50" s="30" t="s">
        <v>121</v>
      </c>
      <c r="C50" s="30"/>
      <c r="D50" s="30" t="s">
        <v>94</v>
      </c>
      <c r="E50" s="31">
        <v>45324.0</v>
      </c>
      <c r="F50" s="31"/>
      <c r="G50" s="32">
        <v>10.0</v>
      </c>
      <c r="H50" s="32"/>
      <c r="I50" s="33">
        <f t="shared" si="1"/>
        <v>0.083</v>
      </c>
      <c r="J50" s="33">
        <f t="shared" si="2"/>
        <v>10.083</v>
      </c>
      <c r="K50" s="30"/>
      <c r="L50" s="33">
        <f t="shared" si="3"/>
        <v>10.083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0.0" customHeight="1">
      <c r="A51" s="41">
        <v>45.0</v>
      </c>
      <c r="B51" s="30" t="s">
        <v>124</v>
      </c>
      <c r="C51" s="30"/>
      <c r="D51" s="30" t="s">
        <v>94</v>
      </c>
      <c r="E51" s="31">
        <v>45332.0</v>
      </c>
      <c r="F51" s="31"/>
      <c r="G51" s="32">
        <v>10.0</v>
      </c>
      <c r="H51" s="32"/>
      <c r="I51" s="33">
        <f t="shared" si="1"/>
        <v>0.083</v>
      </c>
      <c r="J51" s="33">
        <f t="shared" si="2"/>
        <v>10.083</v>
      </c>
      <c r="K51" s="30"/>
      <c r="L51" s="33">
        <f t="shared" si="3"/>
        <v>10.083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0.0" customHeight="1">
      <c r="A52" s="41">
        <v>46.0</v>
      </c>
      <c r="B52" s="13" t="s">
        <v>125</v>
      </c>
      <c r="C52" s="13"/>
      <c r="D52" s="30" t="s">
        <v>94</v>
      </c>
      <c r="E52" s="14">
        <v>45355.0</v>
      </c>
      <c r="F52" s="14"/>
      <c r="G52" s="13"/>
      <c r="H52" s="32">
        <v>10.0</v>
      </c>
      <c r="I52" s="16"/>
      <c r="J52" s="33">
        <f t="shared" si="2"/>
        <v>10</v>
      </c>
      <c r="K52" s="13"/>
      <c r="L52" s="33">
        <f t="shared" si="3"/>
        <v>10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0.0" customHeight="1">
      <c r="A53" s="41">
        <v>47.0</v>
      </c>
      <c r="B53" s="30" t="s">
        <v>126</v>
      </c>
      <c r="C53" s="13"/>
      <c r="D53" s="30" t="s">
        <v>94</v>
      </c>
      <c r="E53" s="14">
        <v>45357.0</v>
      </c>
      <c r="F53" s="14"/>
      <c r="G53" s="13"/>
      <c r="H53" s="32">
        <v>150.0</v>
      </c>
      <c r="I53" s="16"/>
      <c r="J53" s="33">
        <f t="shared" si="2"/>
        <v>150</v>
      </c>
      <c r="K53" s="13"/>
      <c r="L53" s="33">
        <f t="shared" si="3"/>
        <v>150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0.0" customHeight="1">
      <c r="A54" s="41">
        <v>48.0</v>
      </c>
      <c r="B54" s="13" t="s">
        <v>127</v>
      </c>
      <c r="C54" s="13"/>
      <c r="D54" s="30" t="s">
        <v>94</v>
      </c>
      <c r="E54" s="14">
        <v>45359.0</v>
      </c>
      <c r="F54" s="14"/>
      <c r="G54" s="13"/>
      <c r="H54" s="32">
        <v>20.0</v>
      </c>
      <c r="I54" s="16"/>
      <c r="J54" s="33">
        <f t="shared" si="2"/>
        <v>20</v>
      </c>
      <c r="K54" s="13"/>
      <c r="L54" s="33">
        <f t="shared" si="3"/>
        <v>20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0.0" customHeight="1">
      <c r="A55" s="41">
        <v>49.0</v>
      </c>
      <c r="B55" s="13" t="s">
        <v>128</v>
      </c>
      <c r="C55" s="13"/>
      <c r="D55" s="30" t="s">
        <v>94</v>
      </c>
      <c r="E55" s="14">
        <v>45360.0</v>
      </c>
      <c r="F55" s="14"/>
      <c r="G55" s="13"/>
      <c r="H55" s="32">
        <v>10.0</v>
      </c>
      <c r="I55" s="16"/>
      <c r="J55" s="33">
        <f t="shared" si="2"/>
        <v>10</v>
      </c>
      <c r="K55" s="13"/>
      <c r="L55" s="33">
        <f t="shared" si="3"/>
        <v>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0.0" customHeight="1">
      <c r="A56" s="41">
        <v>50.0</v>
      </c>
      <c r="B56" s="13" t="s">
        <v>129</v>
      </c>
      <c r="C56" s="13"/>
      <c r="D56" s="30" t="s">
        <v>94</v>
      </c>
      <c r="E56" s="14">
        <v>45367.0</v>
      </c>
      <c r="F56" s="14"/>
      <c r="G56" s="13"/>
      <c r="H56" s="32">
        <v>50.0</v>
      </c>
      <c r="I56" s="16"/>
      <c r="J56" s="33">
        <f t="shared" si="2"/>
        <v>50</v>
      </c>
      <c r="K56" s="13"/>
      <c r="L56" s="33">
        <f t="shared" si="3"/>
        <v>50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0" customHeight="1">
      <c r="A57" s="17"/>
      <c r="B57" s="13"/>
      <c r="C57" s="13"/>
      <c r="D57" s="13"/>
      <c r="E57" s="13"/>
      <c r="F57" s="13"/>
      <c r="G57" s="18">
        <f>SUM(G7:G55)</f>
        <v>43513.77022</v>
      </c>
      <c r="H57" s="18">
        <f>SUM(H7:H56)</f>
        <v>1183.92</v>
      </c>
      <c r="I57" s="18">
        <f t="shared" ref="I57:L57" si="4">SUM(I7:I55)</f>
        <v>361.1642928</v>
      </c>
      <c r="J57" s="18">
        <f t="shared" si="4"/>
        <v>45008.85451</v>
      </c>
      <c r="K57" s="18">
        <f t="shared" si="4"/>
        <v>0</v>
      </c>
      <c r="L57" s="18">
        <f t="shared" si="4"/>
        <v>45008.85451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21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51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10.29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130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45235.0</v>
      </c>
      <c r="F7" s="31"/>
      <c r="G7" s="52">
        <v>4354.078607745615</v>
      </c>
      <c r="H7" s="32">
        <v>25.8</v>
      </c>
      <c r="I7" s="33">
        <f t="shared" ref="I7:I56" si="1">G7*0.83%</f>
        <v>36.13885244</v>
      </c>
      <c r="J7" s="33">
        <f t="shared" ref="J7:J61" si="2">G7+H7+I7</f>
        <v>4416.01746</v>
      </c>
      <c r="K7" s="30"/>
      <c r="L7" s="33">
        <f t="shared" ref="L7:L61" si="3">J7-K7</f>
        <v>4416.01746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45392.0</v>
      </c>
      <c r="F8" s="31"/>
      <c r="G8" s="52">
        <v>6911.289250521522</v>
      </c>
      <c r="H8" s="32">
        <v>30.0</v>
      </c>
      <c r="I8" s="33">
        <f t="shared" si="1"/>
        <v>57.36370078</v>
      </c>
      <c r="J8" s="33">
        <f t="shared" si="2"/>
        <v>6998.652951</v>
      </c>
      <c r="K8" s="30"/>
      <c r="L8" s="33">
        <f t="shared" si="3"/>
        <v>6998.652951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45392.0</v>
      </c>
      <c r="F9" s="31"/>
      <c r="G9" s="52">
        <v>6830.519330301705</v>
      </c>
      <c r="H9" s="32">
        <v>100.0</v>
      </c>
      <c r="I9" s="33">
        <f t="shared" si="1"/>
        <v>56.69331044</v>
      </c>
      <c r="J9" s="33">
        <f t="shared" si="2"/>
        <v>6987.212641</v>
      </c>
      <c r="K9" s="30"/>
      <c r="L9" s="33">
        <f t="shared" si="3"/>
        <v>6987.212641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52">
        <v>2952.0613599626367</v>
      </c>
      <c r="H10" s="32"/>
      <c r="I10" s="32">
        <f t="shared" si="1"/>
        <v>24.50210929</v>
      </c>
      <c r="J10" s="32">
        <f t="shared" si="2"/>
        <v>2976.563469</v>
      </c>
      <c r="K10" s="34"/>
      <c r="L10" s="32">
        <f t="shared" si="3"/>
        <v>2976.563469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45239.0</v>
      </c>
      <c r="F11" s="35"/>
      <c r="G11" s="52">
        <v>443.81712957685596</v>
      </c>
      <c r="H11" s="32"/>
      <c r="I11" s="32">
        <f t="shared" si="1"/>
        <v>3.683682175</v>
      </c>
      <c r="J11" s="32">
        <f t="shared" si="2"/>
        <v>447.5008118</v>
      </c>
      <c r="K11" s="34"/>
      <c r="L11" s="32">
        <f t="shared" si="3"/>
        <v>447.5008118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45383.0</v>
      </c>
      <c r="F12" s="35"/>
      <c r="G12" s="52">
        <v>2534.2389365036347</v>
      </c>
      <c r="H12" s="32">
        <v>25.0</v>
      </c>
      <c r="I12" s="32">
        <f t="shared" si="1"/>
        <v>21.03418317</v>
      </c>
      <c r="J12" s="32">
        <f t="shared" si="2"/>
        <v>2580.27312</v>
      </c>
      <c r="K12" s="34"/>
      <c r="L12" s="32">
        <f t="shared" si="3"/>
        <v>2580.27312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45361.0</v>
      </c>
      <c r="F13" s="31"/>
      <c r="G13" s="52">
        <v>6683.321810232648</v>
      </c>
      <c r="H13" s="32">
        <v>57.24</v>
      </c>
      <c r="I13" s="33">
        <f t="shared" si="1"/>
        <v>55.47157102</v>
      </c>
      <c r="J13" s="33">
        <f t="shared" si="2"/>
        <v>6796.033381</v>
      </c>
      <c r="K13" s="30"/>
      <c r="L13" s="33">
        <f t="shared" si="3"/>
        <v>6796.033381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45387.0</v>
      </c>
      <c r="F14" s="31"/>
      <c r="G14" s="52">
        <v>6285.176313651861</v>
      </c>
      <c r="H14" s="32">
        <v>100.0</v>
      </c>
      <c r="I14" s="33">
        <f t="shared" si="1"/>
        <v>52.1669634</v>
      </c>
      <c r="J14" s="33">
        <f t="shared" si="2"/>
        <v>6437.343277</v>
      </c>
      <c r="K14" s="30"/>
      <c r="L14" s="33">
        <f t="shared" si="3"/>
        <v>6437.343277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41">
        <v>9.0</v>
      </c>
      <c r="B15" s="30" t="s">
        <v>49</v>
      </c>
      <c r="C15" s="30" t="s">
        <v>91</v>
      </c>
      <c r="D15" s="30" t="s">
        <v>94</v>
      </c>
      <c r="E15" s="31">
        <v>45387.0</v>
      </c>
      <c r="F15" s="31" t="s">
        <v>38</v>
      </c>
      <c r="G15" s="52">
        <v>78.90478969681254</v>
      </c>
      <c r="H15" s="32">
        <v>10.0</v>
      </c>
      <c r="I15" s="33">
        <f t="shared" si="1"/>
        <v>0.6549097545</v>
      </c>
      <c r="J15" s="33">
        <f t="shared" si="2"/>
        <v>89.55969945</v>
      </c>
      <c r="K15" s="30"/>
      <c r="L15" s="33">
        <f t="shared" si="3"/>
        <v>89.55969945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10.0</v>
      </c>
      <c r="B16" s="30" t="s">
        <v>58</v>
      </c>
      <c r="C16" s="30" t="s">
        <v>93</v>
      </c>
      <c r="D16" s="30" t="s">
        <v>94</v>
      </c>
      <c r="E16" s="31">
        <v>45383.0</v>
      </c>
      <c r="F16" s="31" t="s">
        <v>39</v>
      </c>
      <c r="G16" s="52">
        <v>231.84609087500635</v>
      </c>
      <c r="H16" s="32">
        <v>50.0</v>
      </c>
      <c r="I16" s="33">
        <f t="shared" si="1"/>
        <v>1.924322554</v>
      </c>
      <c r="J16" s="33">
        <f t="shared" si="2"/>
        <v>283.7704134</v>
      </c>
      <c r="K16" s="30"/>
      <c r="L16" s="33">
        <f t="shared" si="3"/>
        <v>283.7704134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11.0</v>
      </c>
      <c r="B17" s="30" t="s">
        <v>51</v>
      </c>
      <c r="C17" s="30" t="s">
        <v>91</v>
      </c>
      <c r="D17" s="30" t="s">
        <v>94</v>
      </c>
      <c r="E17" s="31">
        <v>45294.0</v>
      </c>
      <c r="F17" s="31" t="s">
        <v>34</v>
      </c>
      <c r="G17" s="52">
        <v>95.40458531808342</v>
      </c>
      <c r="H17" s="32"/>
      <c r="I17" s="33">
        <f t="shared" si="1"/>
        <v>0.7918580581</v>
      </c>
      <c r="J17" s="33">
        <f t="shared" si="2"/>
        <v>96.19644338</v>
      </c>
      <c r="K17" s="30"/>
      <c r="L17" s="33">
        <f t="shared" si="3"/>
        <v>96.19644338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52">
        <v>83.05164176390365</v>
      </c>
      <c r="H18" s="32"/>
      <c r="I18" s="33">
        <f t="shared" si="1"/>
        <v>0.6893286266</v>
      </c>
      <c r="J18" s="33">
        <f t="shared" si="2"/>
        <v>83.74097039</v>
      </c>
      <c r="K18" s="30"/>
      <c r="L18" s="33">
        <f t="shared" si="3"/>
        <v>83.74097039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13.0</v>
      </c>
      <c r="B19" s="30" t="s">
        <v>72</v>
      </c>
      <c r="C19" s="30" t="s">
        <v>91</v>
      </c>
      <c r="D19" s="30" t="s">
        <v>94</v>
      </c>
      <c r="E19" s="31">
        <v>45387.0</v>
      </c>
      <c r="F19" s="31" t="s">
        <v>38</v>
      </c>
      <c r="G19" s="52">
        <v>168.905046867143</v>
      </c>
      <c r="H19" s="32">
        <v>20.0</v>
      </c>
      <c r="I19" s="33">
        <f t="shared" si="1"/>
        <v>1.401911889</v>
      </c>
      <c r="J19" s="33">
        <f t="shared" si="2"/>
        <v>190.3069588</v>
      </c>
      <c r="K19" s="30"/>
      <c r="L19" s="33">
        <f t="shared" si="3"/>
        <v>190.3069588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41">
        <v>14.0</v>
      </c>
      <c r="B20" s="34" t="s">
        <v>54</v>
      </c>
      <c r="C20" s="34" t="s">
        <v>91</v>
      </c>
      <c r="D20" s="30" t="s">
        <v>94</v>
      </c>
      <c r="E20" s="35">
        <v>45384.0</v>
      </c>
      <c r="F20" s="35" t="s">
        <v>34</v>
      </c>
      <c r="G20" s="52">
        <v>1055.9990296585909</v>
      </c>
      <c r="H20" s="32">
        <v>100.0</v>
      </c>
      <c r="I20" s="32">
        <f t="shared" si="1"/>
        <v>8.764791946</v>
      </c>
      <c r="J20" s="32">
        <f t="shared" si="2"/>
        <v>1164.763822</v>
      </c>
      <c r="K20" s="34"/>
      <c r="L20" s="32">
        <f t="shared" si="3"/>
        <v>1164.763822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41">
        <v>15.0</v>
      </c>
      <c r="B21" s="30" t="s">
        <v>55</v>
      </c>
      <c r="C21" s="30" t="s">
        <v>91</v>
      </c>
      <c r="D21" s="30" t="s">
        <v>94</v>
      </c>
      <c r="E21" s="31">
        <v>45386.0</v>
      </c>
      <c r="F21" s="31" t="s">
        <v>33</v>
      </c>
      <c r="G21" s="52">
        <v>126.9192192950555</v>
      </c>
      <c r="H21" s="32">
        <v>15.0</v>
      </c>
      <c r="I21" s="33">
        <f t="shared" si="1"/>
        <v>1.05342952</v>
      </c>
      <c r="J21" s="33">
        <f t="shared" si="2"/>
        <v>142.9726488</v>
      </c>
      <c r="K21" s="30"/>
      <c r="L21" s="33">
        <f t="shared" si="3"/>
        <v>142.9726488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16.0</v>
      </c>
      <c r="B22" s="30" t="s">
        <v>40</v>
      </c>
      <c r="C22" s="30" t="s">
        <v>91</v>
      </c>
      <c r="D22" s="30" t="s">
        <v>94</v>
      </c>
      <c r="E22" s="31">
        <v>45385.0</v>
      </c>
      <c r="F22" s="31" t="s">
        <v>38</v>
      </c>
      <c r="G22" s="52">
        <v>1140.7328950771123</v>
      </c>
      <c r="H22" s="32">
        <v>100.0</v>
      </c>
      <c r="I22" s="33">
        <f t="shared" si="1"/>
        <v>9.468083029</v>
      </c>
      <c r="J22" s="33">
        <f t="shared" si="2"/>
        <v>1250.200978</v>
      </c>
      <c r="K22" s="30"/>
      <c r="L22" s="33">
        <f t="shared" si="3"/>
        <v>1250.200978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17.0</v>
      </c>
      <c r="B23" s="34" t="s">
        <v>41</v>
      </c>
      <c r="C23" s="34" t="s">
        <v>91</v>
      </c>
      <c r="D23" s="30" t="s">
        <v>94</v>
      </c>
      <c r="E23" s="35">
        <v>45324.0</v>
      </c>
      <c r="F23" s="35" t="s">
        <v>34</v>
      </c>
      <c r="G23" s="52">
        <v>214.0295723207099</v>
      </c>
      <c r="H23" s="39"/>
      <c r="I23" s="32">
        <f t="shared" si="1"/>
        <v>1.77644545</v>
      </c>
      <c r="J23" s="32">
        <f t="shared" si="2"/>
        <v>215.8060178</v>
      </c>
      <c r="K23" s="34"/>
      <c r="L23" s="32">
        <f t="shared" si="3"/>
        <v>215.8060178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18.0</v>
      </c>
      <c r="B24" s="30" t="s">
        <v>95</v>
      </c>
      <c r="C24" s="30" t="s">
        <v>93</v>
      </c>
      <c r="D24" s="30" t="s">
        <v>94</v>
      </c>
      <c r="E24" s="31">
        <v>45393.0</v>
      </c>
      <c r="F24" s="31" t="s">
        <v>39</v>
      </c>
      <c r="G24" s="52">
        <v>460.5905606478896</v>
      </c>
      <c r="H24" s="39">
        <v>40.0</v>
      </c>
      <c r="I24" s="33">
        <f t="shared" si="1"/>
        <v>3.822901653</v>
      </c>
      <c r="J24" s="33">
        <f t="shared" si="2"/>
        <v>504.4134623</v>
      </c>
      <c r="K24" s="30"/>
      <c r="L24" s="33">
        <f t="shared" si="3"/>
        <v>504.4134623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19.0</v>
      </c>
      <c r="B25" s="30" t="s">
        <v>96</v>
      </c>
      <c r="C25" s="30" t="s">
        <v>91</v>
      </c>
      <c r="D25" s="30" t="s">
        <v>94</v>
      </c>
      <c r="E25" s="31">
        <v>45388.0</v>
      </c>
      <c r="F25" s="31" t="s">
        <v>33</v>
      </c>
      <c r="G25" s="52">
        <v>121.31339057461537</v>
      </c>
      <c r="H25" s="39">
        <v>100.0</v>
      </c>
      <c r="I25" s="33">
        <f t="shared" si="1"/>
        <v>1.006901142</v>
      </c>
      <c r="J25" s="33">
        <f t="shared" si="2"/>
        <v>222.3202917</v>
      </c>
      <c r="K25" s="30"/>
      <c r="L25" s="33">
        <f t="shared" si="3"/>
        <v>222.3202917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>
        <v>45386.0</v>
      </c>
      <c r="F26" s="31" t="s">
        <v>34</v>
      </c>
      <c r="G26" s="52">
        <v>72.84423047013233</v>
      </c>
      <c r="H26" s="39">
        <v>5.0</v>
      </c>
      <c r="I26" s="33">
        <f t="shared" si="1"/>
        <v>0.6046071129</v>
      </c>
      <c r="J26" s="33">
        <f t="shared" si="2"/>
        <v>78.44883758</v>
      </c>
      <c r="K26" s="30"/>
      <c r="L26" s="33">
        <f t="shared" si="3"/>
        <v>78.44883758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52">
        <v>114.20410752123539</v>
      </c>
      <c r="H27" s="39"/>
      <c r="I27" s="32">
        <f t="shared" si="1"/>
        <v>0.9478940924</v>
      </c>
      <c r="J27" s="32">
        <f t="shared" si="2"/>
        <v>115.1520016</v>
      </c>
      <c r="K27" s="34"/>
      <c r="L27" s="32">
        <f t="shared" si="3"/>
        <v>115.1520016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52">
        <v>134.45572860120558</v>
      </c>
      <c r="H28" s="39"/>
      <c r="I28" s="33">
        <f t="shared" si="1"/>
        <v>1.115982547</v>
      </c>
      <c r="J28" s="33">
        <f t="shared" si="2"/>
        <v>135.5717111</v>
      </c>
      <c r="K28" s="30"/>
      <c r="L28" s="33">
        <f t="shared" si="3"/>
        <v>135.5717111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45383.0</v>
      </c>
      <c r="F29" s="31" t="s">
        <v>39</v>
      </c>
      <c r="G29" s="52">
        <v>674.2045205077848</v>
      </c>
      <c r="H29" s="39">
        <v>100.0</v>
      </c>
      <c r="I29" s="33">
        <f t="shared" si="1"/>
        <v>5.59589752</v>
      </c>
      <c r="J29" s="33">
        <f t="shared" si="2"/>
        <v>779.800418</v>
      </c>
      <c r="K29" s="30"/>
      <c r="L29" s="33">
        <f t="shared" si="3"/>
        <v>779.800418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45361.0</v>
      </c>
      <c r="F30" s="31" t="s">
        <v>40</v>
      </c>
      <c r="G30" s="52">
        <v>535.5293311665454</v>
      </c>
      <c r="H30" s="39"/>
      <c r="I30" s="33">
        <f t="shared" si="1"/>
        <v>4.444893449</v>
      </c>
      <c r="J30" s="33">
        <f t="shared" si="2"/>
        <v>539.9742246</v>
      </c>
      <c r="K30" s="30"/>
      <c r="L30" s="33">
        <f t="shared" si="3"/>
        <v>539.9742246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45383.0</v>
      </c>
      <c r="F31" s="31" t="s">
        <v>39</v>
      </c>
      <c r="G31" s="52">
        <v>31.723393421202147</v>
      </c>
      <c r="H31" s="39">
        <v>10.0</v>
      </c>
      <c r="I31" s="33">
        <f t="shared" si="1"/>
        <v>0.2633041654</v>
      </c>
      <c r="J31" s="33">
        <f t="shared" si="2"/>
        <v>41.98669759</v>
      </c>
      <c r="K31" s="30"/>
      <c r="L31" s="33">
        <f t="shared" si="3"/>
        <v>41.98669759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52">
        <v>63.85092938095975</v>
      </c>
      <c r="H32" s="39"/>
      <c r="I32" s="33">
        <f t="shared" si="1"/>
        <v>0.5299627139</v>
      </c>
      <c r="J32" s="33">
        <f t="shared" si="2"/>
        <v>64.38089209</v>
      </c>
      <c r="K32" s="30"/>
      <c r="L32" s="33">
        <f t="shared" si="3"/>
        <v>64.38089209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52">
        <v>213.67225489905715</v>
      </c>
      <c r="H33" s="39"/>
      <c r="I33" s="33">
        <f t="shared" si="1"/>
        <v>1.773479716</v>
      </c>
      <c r="J33" s="33">
        <f t="shared" si="2"/>
        <v>215.4457346</v>
      </c>
      <c r="K33" s="30"/>
      <c r="L33" s="33">
        <f t="shared" si="3"/>
        <v>215.4457346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45330.0</v>
      </c>
      <c r="F34" s="31" t="s">
        <v>39</v>
      </c>
      <c r="G34" s="52">
        <v>36.095327021144584</v>
      </c>
      <c r="H34" s="32"/>
      <c r="I34" s="33">
        <f t="shared" si="1"/>
        <v>0.2995912143</v>
      </c>
      <c r="J34" s="33">
        <f t="shared" si="2"/>
        <v>36.39491824</v>
      </c>
      <c r="K34" s="30"/>
      <c r="L34" s="33">
        <f t="shared" si="3"/>
        <v>36.39491824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45235.0</v>
      </c>
      <c r="F35" s="31" t="s">
        <v>35</v>
      </c>
      <c r="G35" s="52">
        <v>1034.906043644584</v>
      </c>
      <c r="H35" s="32"/>
      <c r="I35" s="33">
        <f t="shared" si="1"/>
        <v>8.589720162</v>
      </c>
      <c r="J35" s="33">
        <f t="shared" si="2"/>
        <v>1043.495764</v>
      </c>
      <c r="K35" s="30"/>
      <c r="L35" s="33">
        <f t="shared" si="3"/>
        <v>1043.495764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52">
        <v>15.547838654224913</v>
      </c>
      <c r="H36" s="32"/>
      <c r="I36" s="33">
        <f t="shared" si="1"/>
        <v>0.1290470608</v>
      </c>
      <c r="J36" s="33">
        <f t="shared" si="2"/>
        <v>15.67688572</v>
      </c>
      <c r="K36" s="30"/>
      <c r="L36" s="33">
        <f t="shared" si="3"/>
        <v>15.67688572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0.0" customHeight="1">
      <c r="A37" s="41">
        <v>31.0</v>
      </c>
      <c r="B37" s="30" t="s">
        <v>104</v>
      </c>
      <c r="C37" s="30"/>
      <c r="D37" s="30" t="s">
        <v>94</v>
      </c>
      <c r="E37" s="31">
        <v>45396.0</v>
      </c>
      <c r="F37" s="31"/>
      <c r="G37" s="52">
        <v>76.88829607979075</v>
      </c>
      <c r="H37" s="32">
        <v>15.0</v>
      </c>
      <c r="I37" s="33">
        <f t="shared" si="1"/>
        <v>0.6381728575</v>
      </c>
      <c r="J37" s="33">
        <f t="shared" si="2"/>
        <v>92.52646894</v>
      </c>
      <c r="K37" s="30"/>
      <c r="L37" s="33">
        <f t="shared" si="3"/>
        <v>92.52646894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32.0</v>
      </c>
      <c r="B38" s="30" t="s">
        <v>105</v>
      </c>
      <c r="C38" s="30"/>
      <c r="D38" s="30" t="s">
        <v>94</v>
      </c>
      <c r="E38" s="31">
        <v>45387.0</v>
      </c>
      <c r="F38" s="31"/>
      <c r="G38" s="52">
        <v>206.0167460274684</v>
      </c>
      <c r="H38" s="32">
        <v>15.0</v>
      </c>
      <c r="I38" s="33">
        <f t="shared" si="1"/>
        <v>1.709938992</v>
      </c>
      <c r="J38" s="33">
        <f t="shared" si="2"/>
        <v>222.726685</v>
      </c>
      <c r="K38" s="30"/>
      <c r="L38" s="33">
        <f t="shared" si="3"/>
        <v>222.726685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33.0</v>
      </c>
      <c r="B39" s="30" t="s">
        <v>106</v>
      </c>
      <c r="C39" s="30"/>
      <c r="D39" s="30" t="s">
        <v>94</v>
      </c>
      <c r="E39" s="31">
        <v>45383.0</v>
      </c>
      <c r="F39" s="31"/>
      <c r="G39" s="52">
        <v>61.258864053193825</v>
      </c>
      <c r="H39" s="32">
        <v>10.0</v>
      </c>
      <c r="I39" s="33">
        <f t="shared" si="1"/>
        <v>0.5084485716</v>
      </c>
      <c r="J39" s="33">
        <f t="shared" si="2"/>
        <v>71.76731262</v>
      </c>
      <c r="K39" s="30"/>
      <c r="L39" s="33">
        <f t="shared" si="3"/>
        <v>71.76731262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0.0" customHeight="1">
      <c r="A40" s="41">
        <v>34.0</v>
      </c>
      <c r="B40" s="30" t="s">
        <v>107</v>
      </c>
      <c r="C40" s="30"/>
      <c r="D40" s="30" t="s">
        <v>94</v>
      </c>
      <c r="E40" s="31">
        <v>45331.0</v>
      </c>
      <c r="F40" s="31"/>
      <c r="G40" s="52">
        <v>152.51772810638766</v>
      </c>
      <c r="H40" s="32"/>
      <c r="I40" s="33">
        <f t="shared" si="1"/>
        <v>1.265897143</v>
      </c>
      <c r="J40" s="33">
        <f t="shared" si="2"/>
        <v>153.7836252</v>
      </c>
      <c r="K40" s="30"/>
      <c r="L40" s="33">
        <f t="shared" si="3"/>
        <v>153.7836252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0.0" customHeight="1">
      <c r="A41" s="41">
        <v>35.0</v>
      </c>
      <c r="B41" s="30" t="s">
        <v>108</v>
      </c>
      <c r="C41" s="30"/>
      <c r="D41" s="30" t="s">
        <v>94</v>
      </c>
      <c r="E41" s="31">
        <v>45330.0</v>
      </c>
      <c r="F41" s="31"/>
      <c r="G41" s="52">
        <v>51.258864053193825</v>
      </c>
      <c r="H41" s="32"/>
      <c r="I41" s="33">
        <f t="shared" si="1"/>
        <v>0.4254485716</v>
      </c>
      <c r="J41" s="33">
        <f t="shared" si="2"/>
        <v>51.68431262</v>
      </c>
      <c r="K41" s="30"/>
      <c r="L41" s="33">
        <f t="shared" si="3"/>
        <v>51.68431262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0.0" customHeight="1">
      <c r="A42" s="41">
        <v>36.0</v>
      </c>
      <c r="B42" s="30" t="s">
        <v>109</v>
      </c>
      <c r="C42" s="30"/>
      <c r="D42" s="30" t="s">
        <v>94</v>
      </c>
      <c r="E42" s="31">
        <v>45333.0</v>
      </c>
      <c r="F42" s="31"/>
      <c r="G42" s="52">
        <v>138.1471601329846</v>
      </c>
      <c r="H42" s="32"/>
      <c r="I42" s="33">
        <f t="shared" si="1"/>
        <v>1.146621429</v>
      </c>
      <c r="J42" s="33">
        <f t="shared" si="2"/>
        <v>139.2937816</v>
      </c>
      <c r="K42" s="30"/>
      <c r="L42" s="33">
        <f t="shared" si="3"/>
        <v>139.2937816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0.0" customHeight="1">
      <c r="A43" s="41">
        <v>37.0</v>
      </c>
      <c r="B43" s="30" t="s">
        <v>110</v>
      </c>
      <c r="C43" s="30"/>
      <c r="D43" s="30" t="s">
        <v>94</v>
      </c>
      <c r="E43" s="31">
        <v>45386.0</v>
      </c>
      <c r="F43" s="31"/>
      <c r="G43" s="52">
        <v>138.99801367661917</v>
      </c>
      <c r="H43" s="32">
        <v>10.0</v>
      </c>
      <c r="I43" s="33">
        <f t="shared" si="1"/>
        <v>1.153683514</v>
      </c>
      <c r="J43" s="33">
        <f t="shared" si="2"/>
        <v>150.1516972</v>
      </c>
      <c r="K43" s="30"/>
      <c r="L43" s="33">
        <f t="shared" si="3"/>
        <v>150.1516972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0.0" customHeight="1">
      <c r="A44" s="41">
        <v>38.0</v>
      </c>
      <c r="B44" s="30" t="s">
        <v>111</v>
      </c>
      <c r="C44" s="30"/>
      <c r="D44" s="30" t="s">
        <v>94</v>
      </c>
      <c r="E44" s="31">
        <v>45333.0</v>
      </c>
      <c r="F44" s="31"/>
      <c r="G44" s="52">
        <v>51.779961374013105</v>
      </c>
      <c r="H44" s="32"/>
      <c r="I44" s="33">
        <f t="shared" si="1"/>
        <v>0.4297736794</v>
      </c>
      <c r="J44" s="33">
        <f t="shared" si="2"/>
        <v>52.20973505</v>
      </c>
      <c r="K44" s="30"/>
      <c r="L44" s="33">
        <f t="shared" si="3"/>
        <v>52.20973505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0.0" customHeight="1">
      <c r="A45" s="41">
        <v>39.0</v>
      </c>
      <c r="B45" s="30" t="s">
        <v>112</v>
      </c>
      <c r="C45" s="30"/>
      <c r="D45" s="30" t="s">
        <v>94</v>
      </c>
      <c r="E45" s="31">
        <v>45245.0</v>
      </c>
      <c r="F45" s="31"/>
      <c r="G45" s="52">
        <v>20.75810273532383</v>
      </c>
      <c r="H45" s="32"/>
      <c r="I45" s="33">
        <f t="shared" si="1"/>
        <v>0.1722922527</v>
      </c>
      <c r="J45" s="33">
        <f t="shared" si="2"/>
        <v>20.93039499</v>
      </c>
      <c r="K45" s="30"/>
      <c r="L45" s="33">
        <f t="shared" si="3"/>
        <v>20.93039499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0.0" customHeight="1">
      <c r="A46" s="41">
        <v>40.0</v>
      </c>
      <c r="B46" s="30" t="s">
        <v>116</v>
      </c>
      <c r="C46" s="30"/>
      <c r="D46" s="30" t="s">
        <v>94</v>
      </c>
      <c r="E46" s="31">
        <v>45293.0</v>
      </c>
      <c r="F46" s="31"/>
      <c r="G46" s="52">
        <v>10.1666889</v>
      </c>
      <c r="H46" s="32"/>
      <c r="I46" s="33">
        <f t="shared" si="1"/>
        <v>0.08438351787</v>
      </c>
      <c r="J46" s="33">
        <f t="shared" si="2"/>
        <v>10.25107242</v>
      </c>
      <c r="K46" s="30"/>
      <c r="L46" s="33">
        <f t="shared" si="3"/>
        <v>10.25107242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0.0" customHeight="1">
      <c r="A47" s="41">
        <v>41.0</v>
      </c>
      <c r="B47" s="30" t="s">
        <v>117</v>
      </c>
      <c r="C47" s="30"/>
      <c r="D47" s="30" t="s">
        <v>94</v>
      </c>
      <c r="E47" s="31">
        <v>45383.0</v>
      </c>
      <c r="F47" s="31"/>
      <c r="G47" s="52">
        <v>151.24844450000003</v>
      </c>
      <c r="H47" s="32">
        <v>50.0</v>
      </c>
      <c r="I47" s="33">
        <f t="shared" si="1"/>
        <v>1.255362089</v>
      </c>
      <c r="J47" s="33">
        <f t="shared" si="2"/>
        <v>202.5038066</v>
      </c>
      <c r="K47" s="30"/>
      <c r="L47" s="33">
        <f t="shared" si="3"/>
        <v>202.5038066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0.0" customHeight="1">
      <c r="A48" s="41">
        <v>42.0</v>
      </c>
      <c r="B48" s="30" t="s">
        <v>118</v>
      </c>
      <c r="C48" s="30"/>
      <c r="D48" s="30" t="s">
        <v>94</v>
      </c>
      <c r="E48" s="31">
        <v>45303.0</v>
      </c>
      <c r="F48" s="31"/>
      <c r="G48" s="52">
        <v>20.3333778</v>
      </c>
      <c r="H48" s="32"/>
      <c r="I48" s="33">
        <f t="shared" si="1"/>
        <v>0.1687670357</v>
      </c>
      <c r="J48" s="33">
        <f t="shared" si="2"/>
        <v>20.50214484</v>
      </c>
      <c r="K48" s="30"/>
      <c r="L48" s="33">
        <f t="shared" si="3"/>
        <v>20.50214484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0.0" customHeight="1">
      <c r="A49" s="41">
        <v>43.0</v>
      </c>
      <c r="B49" s="30" t="s">
        <v>120</v>
      </c>
      <c r="C49" s="30"/>
      <c r="D49" s="30" t="s">
        <v>94</v>
      </c>
      <c r="E49" s="31">
        <v>45392.0</v>
      </c>
      <c r="F49" s="31"/>
      <c r="G49" s="52">
        <v>20.083</v>
      </c>
      <c r="H49" s="32">
        <v>10.0</v>
      </c>
      <c r="I49" s="33">
        <f t="shared" si="1"/>
        <v>0.1666889</v>
      </c>
      <c r="J49" s="33">
        <f t="shared" si="2"/>
        <v>30.2496889</v>
      </c>
      <c r="K49" s="30"/>
      <c r="L49" s="33">
        <f t="shared" si="3"/>
        <v>30.2496889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0.0" customHeight="1">
      <c r="A50" s="41">
        <v>44.0</v>
      </c>
      <c r="B50" s="30" t="s">
        <v>121</v>
      </c>
      <c r="C50" s="30"/>
      <c r="D50" s="30" t="s">
        <v>94</v>
      </c>
      <c r="E50" s="31">
        <v>45324.0</v>
      </c>
      <c r="F50" s="31"/>
      <c r="G50" s="52">
        <v>10.083</v>
      </c>
      <c r="H50" s="32"/>
      <c r="I50" s="33">
        <f t="shared" si="1"/>
        <v>0.0836889</v>
      </c>
      <c r="J50" s="33">
        <f t="shared" si="2"/>
        <v>10.1666889</v>
      </c>
      <c r="K50" s="30"/>
      <c r="L50" s="33">
        <f t="shared" si="3"/>
        <v>10.1666889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0.0" customHeight="1">
      <c r="A51" s="41">
        <v>45.0</v>
      </c>
      <c r="B51" s="30" t="s">
        <v>124</v>
      </c>
      <c r="C51" s="30"/>
      <c r="D51" s="30" t="s">
        <v>94</v>
      </c>
      <c r="E51" s="31">
        <v>45332.0</v>
      </c>
      <c r="F51" s="31"/>
      <c r="G51" s="52">
        <v>10.083</v>
      </c>
      <c r="H51" s="32"/>
      <c r="I51" s="33">
        <f t="shared" si="1"/>
        <v>0.0836889</v>
      </c>
      <c r="J51" s="33">
        <f t="shared" si="2"/>
        <v>10.1666889</v>
      </c>
      <c r="K51" s="30"/>
      <c r="L51" s="33">
        <f t="shared" si="3"/>
        <v>10.1666889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0.0" customHeight="1">
      <c r="A52" s="41">
        <v>46.0</v>
      </c>
      <c r="B52" s="13" t="s">
        <v>125</v>
      </c>
      <c r="C52" s="13"/>
      <c r="D52" s="30" t="s">
        <v>94</v>
      </c>
      <c r="E52" s="14">
        <v>45387.0</v>
      </c>
      <c r="F52" s="14"/>
      <c r="G52" s="53">
        <v>10.0</v>
      </c>
      <c r="H52" s="32">
        <v>40.0</v>
      </c>
      <c r="I52" s="33">
        <f t="shared" si="1"/>
        <v>0.083</v>
      </c>
      <c r="J52" s="33">
        <f t="shared" si="2"/>
        <v>50.083</v>
      </c>
      <c r="K52" s="13"/>
      <c r="L52" s="33">
        <f t="shared" si="3"/>
        <v>50.083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0.0" customHeight="1">
      <c r="A53" s="41">
        <v>47.0</v>
      </c>
      <c r="B53" s="54" t="s">
        <v>126</v>
      </c>
      <c r="C53" s="13"/>
      <c r="D53" s="30" t="s">
        <v>94</v>
      </c>
      <c r="E53" s="14">
        <v>45357.0</v>
      </c>
      <c r="F53" s="14"/>
      <c r="G53" s="53">
        <v>150.0</v>
      </c>
      <c r="H53" s="32">
        <v>25.0</v>
      </c>
      <c r="I53" s="33">
        <f t="shared" si="1"/>
        <v>1.245</v>
      </c>
      <c r="J53" s="33">
        <f t="shared" si="2"/>
        <v>176.245</v>
      </c>
      <c r="K53" s="13"/>
      <c r="L53" s="33">
        <f t="shared" si="3"/>
        <v>176.245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0.0" customHeight="1">
      <c r="A54" s="41">
        <v>48.0</v>
      </c>
      <c r="B54" s="13" t="s">
        <v>127</v>
      </c>
      <c r="C54" s="13"/>
      <c r="D54" s="30" t="s">
        <v>94</v>
      </c>
      <c r="E54" s="14">
        <v>45359.0</v>
      </c>
      <c r="F54" s="14"/>
      <c r="G54" s="53">
        <v>20.0</v>
      </c>
      <c r="H54" s="32"/>
      <c r="I54" s="33">
        <f t="shared" si="1"/>
        <v>0.166</v>
      </c>
      <c r="J54" s="33">
        <f t="shared" si="2"/>
        <v>20.166</v>
      </c>
      <c r="K54" s="13"/>
      <c r="L54" s="33">
        <f t="shared" si="3"/>
        <v>20.166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0.0" customHeight="1">
      <c r="A55" s="41">
        <v>49.0</v>
      </c>
      <c r="B55" s="13" t="s">
        <v>128</v>
      </c>
      <c r="C55" s="13"/>
      <c r="D55" s="30" t="s">
        <v>94</v>
      </c>
      <c r="E55" s="14">
        <v>45384.0</v>
      </c>
      <c r="F55" s="14"/>
      <c r="G55" s="53">
        <v>10.0</v>
      </c>
      <c r="H55" s="32">
        <v>10.0</v>
      </c>
      <c r="I55" s="33">
        <f t="shared" si="1"/>
        <v>0.083</v>
      </c>
      <c r="J55" s="33">
        <f t="shared" si="2"/>
        <v>20.083</v>
      </c>
      <c r="K55" s="13"/>
      <c r="L55" s="33">
        <f t="shared" si="3"/>
        <v>20.083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0.0" customHeight="1">
      <c r="A56" s="41">
        <v>50.0</v>
      </c>
      <c r="B56" s="13" t="s">
        <v>129</v>
      </c>
      <c r="C56" s="13"/>
      <c r="D56" s="30" t="s">
        <v>94</v>
      </c>
      <c r="E56" s="14">
        <v>45393.0</v>
      </c>
      <c r="F56" s="14"/>
      <c r="G56" s="53">
        <v>50.0</v>
      </c>
      <c r="H56" s="32">
        <v>50.0</v>
      </c>
      <c r="I56" s="33">
        <f t="shared" si="1"/>
        <v>0.415</v>
      </c>
      <c r="J56" s="33">
        <f t="shared" si="2"/>
        <v>100.415</v>
      </c>
      <c r="K56" s="13"/>
      <c r="L56" s="33">
        <f t="shared" si="3"/>
        <v>100.415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0.0" customHeight="1">
      <c r="A57" s="41">
        <v>50.0</v>
      </c>
      <c r="B57" s="13" t="s">
        <v>132</v>
      </c>
      <c r="C57" s="13"/>
      <c r="D57" s="30" t="s">
        <v>94</v>
      </c>
      <c r="E57" s="14">
        <v>45383.0</v>
      </c>
      <c r="F57" s="14"/>
      <c r="G57" s="53"/>
      <c r="H57" s="53">
        <v>5.0</v>
      </c>
      <c r="I57" s="16"/>
      <c r="J57" s="33">
        <f t="shared" si="2"/>
        <v>5</v>
      </c>
      <c r="K57" s="13"/>
      <c r="L57" s="33">
        <f t="shared" si="3"/>
        <v>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30.0" customHeight="1">
      <c r="A58" s="41">
        <v>51.0</v>
      </c>
      <c r="B58" s="13" t="s">
        <v>133</v>
      </c>
      <c r="C58" s="13"/>
      <c r="D58" s="30" t="s">
        <v>94</v>
      </c>
      <c r="E58" s="14">
        <v>45384.0</v>
      </c>
      <c r="F58" s="14"/>
      <c r="G58" s="53"/>
      <c r="H58" s="53">
        <v>20.0</v>
      </c>
      <c r="I58" s="16"/>
      <c r="J58" s="33">
        <f t="shared" si="2"/>
        <v>20</v>
      </c>
      <c r="K58" s="13"/>
      <c r="L58" s="33">
        <f t="shared" si="3"/>
        <v>20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30.0" customHeight="1">
      <c r="A59" s="41">
        <v>52.0</v>
      </c>
      <c r="B59" s="30" t="s">
        <v>134</v>
      </c>
      <c r="C59" s="13"/>
      <c r="D59" s="30" t="s">
        <v>94</v>
      </c>
      <c r="E59" s="14">
        <v>45390.0</v>
      </c>
      <c r="F59" s="14" t="s">
        <v>131</v>
      </c>
      <c r="G59" s="53"/>
      <c r="H59" s="53">
        <v>10.0</v>
      </c>
      <c r="I59" s="16"/>
      <c r="J59" s="33">
        <f t="shared" si="2"/>
        <v>10</v>
      </c>
      <c r="K59" s="13"/>
      <c r="L59" s="33">
        <f t="shared" si="3"/>
        <v>10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0.0" customHeight="1">
      <c r="A60" s="41">
        <v>53.0</v>
      </c>
      <c r="B60" s="13" t="s">
        <v>135</v>
      </c>
      <c r="C60" s="13"/>
      <c r="D60" s="30" t="s">
        <v>94</v>
      </c>
      <c r="E60" s="14">
        <v>45390.0</v>
      </c>
      <c r="F60" s="14" t="s">
        <v>131</v>
      </c>
      <c r="G60" s="53"/>
      <c r="H60" s="53">
        <v>10.0</v>
      </c>
      <c r="I60" s="16"/>
      <c r="J60" s="33">
        <f t="shared" si="2"/>
        <v>10</v>
      </c>
      <c r="K60" s="13"/>
      <c r="L60" s="33">
        <f t="shared" si="3"/>
        <v>10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30.0" customHeight="1">
      <c r="A61" s="41">
        <v>54.0</v>
      </c>
      <c r="B61" s="13" t="s">
        <v>136</v>
      </c>
      <c r="C61" s="13"/>
      <c r="D61" s="30" t="s">
        <v>94</v>
      </c>
      <c r="E61" s="14">
        <v>45390.0</v>
      </c>
      <c r="F61" s="14" t="s">
        <v>131</v>
      </c>
      <c r="G61" s="53"/>
      <c r="H61" s="53">
        <v>10.0</v>
      </c>
      <c r="I61" s="16"/>
      <c r="J61" s="33">
        <f t="shared" si="2"/>
        <v>10</v>
      </c>
      <c r="K61" s="13"/>
      <c r="L61" s="33">
        <f t="shared" si="3"/>
        <v>10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0.0" customHeight="1">
      <c r="A62" s="41"/>
      <c r="B62" s="13"/>
      <c r="C62" s="13"/>
      <c r="D62" s="30"/>
      <c r="E62" s="14"/>
      <c r="F62" s="14"/>
      <c r="G62" s="53"/>
      <c r="H62" s="32"/>
      <c r="I62" s="16"/>
      <c r="J62" s="33"/>
      <c r="K62" s="13"/>
      <c r="L62" s="3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30.0" customHeight="1">
      <c r="A63" s="41"/>
      <c r="B63" s="13"/>
      <c r="C63" s="13"/>
      <c r="D63" s="30"/>
      <c r="E63" s="14"/>
      <c r="F63" s="14"/>
      <c r="G63" s="53"/>
      <c r="H63" s="32"/>
      <c r="I63" s="16"/>
      <c r="J63" s="33"/>
      <c r="K63" s="13"/>
      <c r="L63" s="3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0" customHeight="1">
      <c r="A64" s="17"/>
      <c r="B64" s="13"/>
      <c r="C64" s="13"/>
      <c r="D64" s="13"/>
      <c r="E64" s="13"/>
      <c r="F64" s="13"/>
      <c r="G64" s="18">
        <f>SUM(G7:G59)</f>
        <v>45058.85451</v>
      </c>
      <c r="H64" s="18">
        <f>SUM(H7:H63)</f>
        <v>1178.04</v>
      </c>
      <c r="I64" s="18">
        <f>SUM(I7:I57)</f>
        <v>373.9884925</v>
      </c>
      <c r="J64" s="18">
        <f>SUM(J7:J59)</f>
        <v>46590.88301</v>
      </c>
      <c r="K64" s="18">
        <f>SUM(K7:K55)</f>
        <v>0</v>
      </c>
      <c r="L64" s="18">
        <f>SUM(L7:L59)</f>
        <v>46590.88301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2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51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10.29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137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45422.0</v>
      </c>
      <c r="F7" s="31"/>
      <c r="G7" s="52">
        <v>4416.017460189903</v>
      </c>
      <c r="H7" s="32">
        <v>26.54</v>
      </c>
      <c r="I7" s="33">
        <f t="shared" ref="I7:I62" si="1">G7*0.83%</f>
        <v>36.65294492</v>
      </c>
      <c r="J7" s="33">
        <f t="shared" ref="J7:J62" si="2">G7+H7+I7</f>
        <v>4479.210405</v>
      </c>
      <c r="K7" s="30"/>
      <c r="L7" s="33">
        <f t="shared" ref="L7:L62" si="3">J7-K7</f>
        <v>4479.210405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45422.0</v>
      </c>
      <c r="F8" s="31"/>
      <c r="G8" s="52">
        <v>6998.652951300851</v>
      </c>
      <c r="H8" s="32">
        <v>50.0</v>
      </c>
      <c r="I8" s="33">
        <f t="shared" si="1"/>
        <v>58.0888195</v>
      </c>
      <c r="J8" s="33">
        <f t="shared" si="2"/>
        <v>7106.741771</v>
      </c>
      <c r="K8" s="30"/>
      <c r="L8" s="33">
        <f t="shared" si="3"/>
        <v>7106.741771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45423.0</v>
      </c>
      <c r="F9" s="31"/>
      <c r="G9" s="52">
        <v>6987.212640743209</v>
      </c>
      <c r="H9" s="32">
        <v>100.0</v>
      </c>
      <c r="I9" s="33">
        <f t="shared" si="1"/>
        <v>57.99386492</v>
      </c>
      <c r="J9" s="33">
        <f t="shared" si="2"/>
        <v>7145.206506</v>
      </c>
      <c r="K9" s="30"/>
      <c r="L9" s="33">
        <f t="shared" si="3"/>
        <v>7145.206506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52">
        <v>2976.5634692503268</v>
      </c>
      <c r="H10" s="32"/>
      <c r="I10" s="32">
        <f t="shared" si="1"/>
        <v>24.70547679</v>
      </c>
      <c r="J10" s="32">
        <f t="shared" si="2"/>
        <v>3001.268946</v>
      </c>
      <c r="K10" s="34"/>
      <c r="L10" s="32">
        <f t="shared" si="3"/>
        <v>3001.268946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45239.0</v>
      </c>
      <c r="F11" s="35"/>
      <c r="G11" s="52">
        <v>447.50081175234385</v>
      </c>
      <c r="H11" s="32"/>
      <c r="I11" s="32">
        <f t="shared" si="1"/>
        <v>3.714256738</v>
      </c>
      <c r="J11" s="32">
        <f t="shared" si="2"/>
        <v>451.2150685</v>
      </c>
      <c r="K11" s="34"/>
      <c r="L11" s="32">
        <f t="shared" si="3"/>
        <v>451.2150685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45383.0</v>
      </c>
      <c r="F12" s="35"/>
      <c r="G12" s="52">
        <v>2580.273119676615</v>
      </c>
      <c r="H12" s="32"/>
      <c r="I12" s="32">
        <f t="shared" si="1"/>
        <v>21.41626689</v>
      </c>
      <c r="J12" s="32">
        <f t="shared" si="2"/>
        <v>2601.689387</v>
      </c>
      <c r="K12" s="34"/>
      <c r="L12" s="32">
        <f t="shared" si="3"/>
        <v>2601.689387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45422.0</v>
      </c>
      <c r="F13" s="31"/>
      <c r="G13" s="52">
        <v>6796.033381257579</v>
      </c>
      <c r="H13" s="32">
        <v>60.56</v>
      </c>
      <c r="I13" s="33">
        <f t="shared" si="1"/>
        <v>56.40707706</v>
      </c>
      <c r="J13" s="33">
        <f t="shared" si="2"/>
        <v>6913.000458</v>
      </c>
      <c r="K13" s="30"/>
      <c r="L13" s="33">
        <f t="shared" si="3"/>
        <v>6913.000458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45414.0</v>
      </c>
      <c r="F14" s="31"/>
      <c r="G14" s="52">
        <v>6437.343277055172</v>
      </c>
      <c r="H14" s="32">
        <v>100.0</v>
      </c>
      <c r="I14" s="33">
        <f t="shared" si="1"/>
        <v>53.4299492</v>
      </c>
      <c r="J14" s="33">
        <f t="shared" si="2"/>
        <v>6590.773226</v>
      </c>
      <c r="K14" s="30"/>
      <c r="L14" s="33">
        <f t="shared" si="3"/>
        <v>6590.773226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41">
        <v>9.0</v>
      </c>
      <c r="B15" s="30" t="s">
        <v>49</v>
      </c>
      <c r="C15" s="30" t="s">
        <v>91</v>
      </c>
      <c r="D15" s="30" t="s">
        <v>94</v>
      </c>
      <c r="E15" s="31">
        <v>45418.0</v>
      </c>
      <c r="F15" s="31" t="s">
        <v>38</v>
      </c>
      <c r="G15" s="52">
        <v>89.55969945129608</v>
      </c>
      <c r="H15" s="32">
        <v>10.0</v>
      </c>
      <c r="I15" s="33">
        <f t="shared" si="1"/>
        <v>0.7433455054</v>
      </c>
      <c r="J15" s="33">
        <f t="shared" si="2"/>
        <v>100.303045</v>
      </c>
      <c r="K15" s="30"/>
      <c r="L15" s="33">
        <f t="shared" si="3"/>
        <v>100.303045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10.0</v>
      </c>
      <c r="B16" s="30" t="s">
        <v>58</v>
      </c>
      <c r="C16" s="30" t="s">
        <v>93</v>
      </c>
      <c r="D16" s="30" t="s">
        <v>94</v>
      </c>
      <c r="E16" s="31">
        <v>45383.0</v>
      </c>
      <c r="F16" s="31" t="s">
        <v>39</v>
      </c>
      <c r="G16" s="52">
        <v>283.7704134292689</v>
      </c>
      <c r="H16" s="32"/>
      <c r="I16" s="33">
        <f t="shared" si="1"/>
        <v>2.355294431</v>
      </c>
      <c r="J16" s="33">
        <f t="shared" si="2"/>
        <v>286.1257079</v>
      </c>
      <c r="K16" s="30"/>
      <c r="L16" s="33">
        <f t="shared" si="3"/>
        <v>286.1257079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11.0</v>
      </c>
      <c r="B17" s="30" t="s">
        <v>51</v>
      </c>
      <c r="C17" s="30" t="s">
        <v>91</v>
      </c>
      <c r="D17" s="30" t="s">
        <v>94</v>
      </c>
      <c r="E17" s="31">
        <v>45294.0</v>
      </c>
      <c r="F17" s="31" t="s">
        <v>34</v>
      </c>
      <c r="G17" s="52">
        <v>96.19644337622351</v>
      </c>
      <c r="H17" s="32"/>
      <c r="I17" s="33">
        <f t="shared" si="1"/>
        <v>0.79843048</v>
      </c>
      <c r="J17" s="33">
        <f t="shared" si="2"/>
        <v>96.99487386</v>
      </c>
      <c r="K17" s="30"/>
      <c r="L17" s="33">
        <f t="shared" si="3"/>
        <v>96.99487386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52">
        <v>83.74097039054405</v>
      </c>
      <c r="H18" s="32"/>
      <c r="I18" s="33">
        <f t="shared" si="1"/>
        <v>0.6950500542</v>
      </c>
      <c r="J18" s="33">
        <f t="shared" si="2"/>
        <v>84.43602044</v>
      </c>
      <c r="K18" s="30"/>
      <c r="L18" s="33">
        <f t="shared" si="3"/>
        <v>84.43602044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13.0</v>
      </c>
      <c r="B19" s="30" t="s">
        <v>72</v>
      </c>
      <c r="C19" s="30" t="s">
        <v>91</v>
      </c>
      <c r="D19" s="30" t="s">
        <v>94</v>
      </c>
      <c r="E19" s="31">
        <v>45387.0</v>
      </c>
      <c r="F19" s="31" t="s">
        <v>38</v>
      </c>
      <c r="G19" s="52">
        <v>190.3069587561403</v>
      </c>
      <c r="H19" s="32"/>
      <c r="I19" s="33">
        <f t="shared" si="1"/>
        <v>1.579547758</v>
      </c>
      <c r="J19" s="33">
        <f t="shared" si="2"/>
        <v>191.8865065</v>
      </c>
      <c r="K19" s="30"/>
      <c r="L19" s="33">
        <f t="shared" si="3"/>
        <v>191.8865065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41">
        <v>14.0</v>
      </c>
      <c r="B20" s="34" t="s">
        <v>54</v>
      </c>
      <c r="C20" s="34" t="s">
        <v>91</v>
      </c>
      <c r="D20" s="30" t="s">
        <v>94</v>
      </c>
      <c r="E20" s="35">
        <v>45414.0</v>
      </c>
      <c r="F20" s="35" t="s">
        <v>34</v>
      </c>
      <c r="G20" s="52">
        <v>1164.7638216047571</v>
      </c>
      <c r="H20" s="32">
        <v>100.0</v>
      </c>
      <c r="I20" s="32">
        <f t="shared" si="1"/>
        <v>9.667539719</v>
      </c>
      <c r="J20" s="32">
        <f t="shared" si="2"/>
        <v>1274.431361</v>
      </c>
      <c r="K20" s="34"/>
      <c r="L20" s="32">
        <f t="shared" si="3"/>
        <v>1274.431361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41">
        <v>15.0</v>
      </c>
      <c r="B21" s="30" t="s">
        <v>55</v>
      </c>
      <c r="C21" s="30" t="s">
        <v>91</v>
      </c>
      <c r="D21" s="30" t="s">
        <v>94</v>
      </c>
      <c r="E21" s="31">
        <v>45386.0</v>
      </c>
      <c r="F21" s="31" t="s">
        <v>33</v>
      </c>
      <c r="G21" s="52">
        <v>142.97264881520445</v>
      </c>
      <c r="H21" s="32"/>
      <c r="I21" s="33">
        <f t="shared" si="1"/>
        <v>1.186672985</v>
      </c>
      <c r="J21" s="33">
        <f t="shared" si="2"/>
        <v>144.1593218</v>
      </c>
      <c r="K21" s="30"/>
      <c r="L21" s="33">
        <f t="shared" si="3"/>
        <v>144.1593218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16.0</v>
      </c>
      <c r="B22" s="30" t="s">
        <v>40</v>
      </c>
      <c r="C22" s="30" t="s">
        <v>91</v>
      </c>
      <c r="D22" s="30" t="s">
        <v>94</v>
      </c>
      <c r="E22" s="31">
        <v>45415.0</v>
      </c>
      <c r="F22" s="31" t="s">
        <v>38</v>
      </c>
      <c r="G22" s="52">
        <v>1250.2009781062523</v>
      </c>
      <c r="H22" s="32">
        <v>50.0</v>
      </c>
      <c r="I22" s="33">
        <f t="shared" si="1"/>
        <v>10.37666812</v>
      </c>
      <c r="J22" s="33">
        <f t="shared" si="2"/>
        <v>1310.577646</v>
      </c>
      <c r="K22" s="30"/>
      <c r="L22" s="33">
        <f t="shared" si="3"/>
        <v>1310.577646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17.0</v>
      </c>
      <c r="B23" s="34" t="s">
        <v>41</v>
      </c>
      <c r="C23" s="34" t="s">
        <v>91</v>
      </c>
      <c r="D23" s="30" t="s">
        <v>94</v>
      </c>
      <c r="E23" s="35">
        <v>45414.0</v>
      </c>
      <c r="F23" s="35" t="s">
        <v>34</v>
      </c>
      <c r="G23" s="52">
        <v>215.80601777097178</v>
      </c>
      <c r="H23" s="39">
        <v>10.0</v>
      </c>
      <c r="I23" s="32">
        <f t="shared" si="1"/>
        <v>1.791189947</v>
      </c>
      <c r="J23" s="32">
        <f t="shared" si="2"/>
        <v>227.5972077</v>
      </c>
      <c r="K23" s="34"/>
      <c r="L23" s="32">
        <f t="shared" si="3"/>
        <v>227.5972077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18.0</v>
      </c>
      <c r="B24" s="30" t="s">
        <v>95</v>
      </c>
      <c r="C24" s="30" t="s">
        <v>93</v>
      </c>
      <c r="D24" s="30" t="s">
        <v>94</v>
      </c>
      <c r="E24" s="31">
        <v>45427.0</v>
      </c>
      <c r="F24" s="31" t="s">
        <v>39</v>
      </c>
      <c r="G24" s="52">
        <v>504.4134623012671</v>
      </c>
      <c r="H24" s="39">
        <v>40.0</v>
      </c>
      <c r="I24" s="33">
        <f t="shared" si="1"/>
        <v>4.186631737</v>
      </c>
      <c r="J24" s="33">
        <f t="shared" si="2"/>
        <v>548.600094</v>
      </c>
      <c r="K24" s="30"/>
      <c r="L24" s="33">
        <f t="shared" si="3"/>
        <v>548.600094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19.0</v>
      </c>
      <c r="B25" s="30" t="s">
        <v>96</v>
      </c>
      <c r="C25" s="30" t="s">
        <v>91</v>
      </c>
      <c r="D25" s="30" t="s">
        <v>94</v>
      </c>
      <c r="E25" s="31">
        <v>45388.0</v>
      </c>
      <c r="F25" s="31" t="s">
        <v>33</v>
      </c>
      <c r="G25" s="52">
        <v>222.32029171638467</v>
      </c>
      <c r="H25" s="39"/>
      <c r="I25" s="33">
        <f t="shared" si="1"/>
        <v>1.845258421</v>
      </c>
      <c r="J25" s="33">
        <f t="shared" si="2"/>
        <v>224.1655501</v>
      </c>
      <c r="K25" s="30"/>
      <c r="L25" s="33">
        <f t="shared" si="3"/>
        <v>224.1655501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>
        <v>45386.0</v>
      </c>
      <c r="F26" s="31" t="s">
        <v>34</v>
      </c>
      <c r="G26" s="52">
        <v>78.44883758303443</v>
      </c>
      <c r="H26" s="39"/>
      <c r="I26" s="33">
        <f t="shared" si="1"/>
        <v>0.6511253519</v>
      </c>
      <c r="J26" s="33">
        <f t="shared" si="2"/>
        <v>79.09996293</v>
      </c>
      <c r="K26" s="30"/>
      <c r="L26" s="33">
        <f t="shared" si="3"/>
        <v>79.09996293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52">
        <v>115.15200161366164</v>
      </c>
      <c r="H27" s="39"/>
      <c r="I27" s="32">
        <f t="shared" si="1"/>
        <v>0.9557616134</v>
      </c>
      <c r="J27" s="32">
        <f t="shared" si="2"/>
        <v>116.1077632</v>
      </c>
      <c r="K27" s="34"/>
      <c r="L27" s="32">
        <f t="shared" si="3"/>
        <v>116.1077632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52">
        <v>135.5717111485956</v>
      </c>
      <c r="H28" s="39"/>
      <c r="I28" s="33">
        <f t="shared" si="1"/>
        <v>1.125245203</v>
      </c>
      <c r="J28" s="33">
        <f t="shared" si="2"/>
        <v>136.6969564</v>
      </c>
      <c r="K28" s="30"/>
      <c r="L28" s="33">
        <f t="shared" si="3"/>
        <v>136.6969564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45422.0</v>
      </c>
      <c r="F29" s="31" t="s">
        <v>39</v>
      </c>
      <c r="G29" s="52">
        <v>779.8004180279994</v>
      </c>
      <c r="H29" s="39">
        <v>100.0</v>
      </c>
      <c r="I29" s="33">
        <f t="shared" si="1"/>
        <v>6.47234347</v>
      </c>
      <c r="J29" s="33">
        <f t="shared" si="2"/>
        <v>886.2727615</v>
      </c>
      <c r="K29" s="30"/>
      <c r="L29" s="33">
        <f t="shared" si="3"/>
        <v>886.2727615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45420.0</v>
      </c>
      <c r="F30" s="31" t="s">
        <v>40</v>
      </c>
      <c r="G30" s="52">
        <v>539.9742246152277</v>
      </c>
      <c r="H30" s="39">
        <v>100.0</v>
      </c>
      <c r="I30" s="33">
        <f t="shared" si="1"/>
        <v>4.481786064</v>
      </c>
      <c r="J30" s="33">
        <f t="shared" si="2"/>
        <v>644.4560107</v>
      </c>
      <c r="K30" s="30"/>
      <c r="L30" s="33">
        <f t="shared" si="3"/>
        <v>644.4560107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45383.0</v>
      </c>
      <c r="F31" s="31" t="s">
        <v>39</v>
      </c>
      <c r="G31" s="52">
        <v>41.986697586598126</v>
      </c>
      <c r="H31" s="39"/>
      <c r="I31" s="33">
        <f t="shared" si="1"/>
        <v>0.34848959</v>
      </c>
      <c r="J31" s="33">
        <f t="shared" si="2"/>
        <v>42.33518718</v>
      </c>
      <c r="K31" s="30"/>
      <c r="L31" s="33">
        <f t="shared" si="3"/>
        <v>42.33518718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52">
        <v>64.38089209482172</v>
      </c>
      <c r="H32" s="39"/>
      <c r="I32" s="33">
        <f t="shared" si="1"/>
        <v>0.5343614044</v>
      </c>
      <c r="J32" s="33">
        <f t="shared" si="2"/>
        <v>64.9152535</v>
      </c>
      <c r="K32" s="30"/>
      <c r="L32" s="33">
        <f t="shared" si="3"/>
        <v>64.9152535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52">
        <v>215.44573461471933</v>
      </c>
      <c r="H33" s="39"/>
      <c r="I33" s="33">
        <f t="shared" si="1"/>
        <v>1.788199597</v>
      </c>
      <c r="J33" s="33">
        <f t="shared" si="2"/>
        <v>217.2339342</v>
      </c>
      <c r="K33" s="30"/>
      <c r="L33" s="33">
        <f t="shared" si="3"/>
        <v>217.2339342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45427.0</v>
      </c>
      <c r="F34" s="31" t="s">
        <v>39</v>
      </c>
      <c r="G34" s="52">
        <v>36.394918235420086</v>
      </c>
      <c r="H34" s="32">
        <v>30.0</v>
      </c>
      <c r="I34" s="33">
        <f t="shared" si="1"/>
        <v>0.3020778214</v>
      </c>
      <c r="J34" s="33">
        <f t="shared" si="2"/>
        <v>66.69699606</v>
      </c>
      <c r="K34" s="30"/>
      <c r="L34" s="33">
        <f t="shared" si="3"/>
        <v>66.69699606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45235.0</v>
      </c>
      <c r="F35" s="31"/>
      <c r="G35" s="52">
        <v>1043.4957638068342</v>
      </c>
      <c r="H35" s="32"/>
      <c r="I35" s="33">
        <f t="shared" si="1"/>
        <v>8.66101484</v>
      </c>
      <c r="J35" s="33">
        <f t="shared" si="2"/>
        <v>1052.156779</v>
      </c>
      <c r="K35" s="30"/>
      <c r="L35" s="33">
        <f t="shared" si="3"/>
        <v>1052.156779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52">
        <v>15.67688571505498</v>
      </c>
      <c r="H36" s="32"/>
      <c r="I36" s="33">
        <f t="shared" si="1"/>
        <v>0.1301181514</v>
      </c>
      <c r="J36" s="33">
        <f t="shared" si="2"/>
        <v>15.80700387</v>
      </c>
      <c r="K36" s="30"/>
      <c r="L36" s="33">
        <f t="shared" si="3"/>
        <v>15.80700387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0.0" customHeight="1">
      <c r="A37" s="41">
        <v>31.0</v>
      </c>
      <c r="B37" s="30" t="s">
        <v>104</v>
      </c>
      <c r="C37" s="30"/>
      <c r="D37" s="30" t="s">
        <v>94</v>
      </c>
      <c r="E37" s="31">
        <v>45416.0</v>
      </c>
      <c r="F37" s="31"/>
      <c r="G37" s="52">
        <v>92.52646893725301</v>
      </c>
      <c r="H37" s="32">
        <v>15.0</v>
      </c>
      <c r="I37" s="33">
        <f t="shared" si="1"/>
        <v>0.7679696922</v>
      </c>
      <c r="J37" s="33">
        <f t="shared" si="2"/>
        <v>108.2944386</v>
      </c>
      <c r="K37" s="30"/>
      <c r="L37" s="33">
        <f t="shared" si="3"/>
        <v>108.2944386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32.0</v>
      </c>
      <c r="B38" s="30" t="s">
        <v>105</v>
      </c>
      <c r="C38" s="30"/>
      <c r="D38" s="30" t="s">
        <v>94</v>
      </c>
      <c r="E38" s="31">
        <v>45420.0</v>
      </c>
      <c r="F38" s="31"/>
      <c r="G38" s="52">
        <v>222.7266850194964</v>
      </c>
      <c r="H38" s="32">
        <v>5.0</v>
      </c>
      <c r="I38" s="33">
        <f t="shared" si="1"/>
        <v>1.848631486</v>
      </c>
      <c r="J38" s="33">
        <f t="shared" si="2"/>
        <v>229.5753165</v>
      </c>
      <c r="K38" s="30"/>
      <c r="L38" s="33">
        <f t="shared" si="3"/>
        <v>229.5753165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33.0</v>
      </c>
      <c r="B39" s="30" t="s">
        <v>106</v>
      </c>
      <c r="C39" s="30"/>
      <c r="D39" s="30" t="s">
        <v>94</v>
      </c>
      <c r="E39" s="31">
        <v>45414.0</v>
      </c>
      <c r="F39" s="31"/>
      <c r="G39" s="52">
        <v>71.76731262483534</v>
      </c>
      <c r="H39" s="32">
        <v>10.0</v>
      </c>
      <c r="I39" s="33">
        <f t="shared" si="1"/>
        <v>0.5956686948</v>
      </c>
      <c r="J39" s="33">
        <f t="shared" si="2"/>
        <v>82.36298132</v>
      </c>
      <c r="K39" s="30"/>
      <c r="L39" s="33">
        <f t="shared" si="3"/>
        <v>82.36298132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0.0" customHeight="1">
      <c r="A40" s="41">
        <v>34.0</v>
      </c>
      <c r="B40" s="30" t="s">
        <v>107</v>
      </c>
      <c r="C40" s="30"/>
      <c r="D40" s="30" t="s">
        <v>94</v>
      </c>
      <c r="E40" s="31">
        <v>45414.0</v>
      </c>
      <c r="F40" s="31"/>
      <c r="G40" s="52">
        <v>153.78362524967068</v>
      </c>
      <c r="H40" s="32">
        <v>50.0</v>
      </c>
      <c r="I40" s="33">
        <f t="shared" si="1"/>
        <v>1.27640409</v>
      </c>
      <c r="J40" s="33">
        <f t="shared" si="2"/>
        <v>205.0600293</v>
      </c>
      <c r="K40" s="30"/>
      <c r="L40" s="33">
        <f t="shared" si="3"/>
        <v>205.0600293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0.0" customHeight="1">
      <c r="A41" s="41">
        <v>35.0</v>
      </c>
      <c r="B41" s="30" t="s">
        <v>108</v>
      </c>
      <c r="C41" s="30"/>
      <c r="D41" s="30" t="s">
        <v>94</v>
      </c>
      <c r="E41" s="31">
        <v>45330.0</v>
      </c>
      <c r="F41" s="31"/>
      <c r="G41" s="52">
        <v>51.684312624835336</v>
      </c>
      <c r="H41" s="32"/>
      <c r="I41" s="33">
        <f t="shared" si="1"/>
        <v>0.4289797948</v>
      </c>
      <c r="J41" s="33">
        <f t="shared" si="2"/>
        <v>52.11329242</v>
      </c>
      <c r="K41" s="30"/>
      <c r="L41" s="33">
        <f t="shared" si="3"/>
        <v>52.11329242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0.0" customHeight="1">
      <c r="A42" s="41">
        <v>36.0</v>
      </c>
      <c r="B42" s="30" t="s">
        <v>109</v>
      </c>
      <c r="C42" s="30"/>
      <c r="D42" s="30" t="s">
        <v>94</v>
      </c>
      <c r="E42" s="31">
        <v>45333.0</v>
      </c>
      <c r="F42" s="31"/>
      <c r="G42" s="52">
        <v>139.29378156208836</v>
      </c>
      <c r="H42" s="32"/>
      <c r="I42" s="33">
        <f t="shared" si="1"/>
        <v>1.156138387</v>
      </c>
      <c r="J42" s="33">
        <f t="shared" si="2"/>
        <v>140.4499199</v>
      </c>
      <c r="K42" s="30"/>
      <c r="L42" s="33">
        <f t="shared" si="3"/>
        <v>140.4499199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0.0" customHeight="1">
      <c r="A43" s="41">
        <v>37.0</v>
      </c>
      <c r="B43" s="30" t="s">
        <v>110</v>
      </c>
      <c r="C43" s="30"/>
      <c r="D43" s="30" t="s">
        <v>94</v>
      </c>
      <c r="E43" s="31">
        <v>45418.0</v>
      </c>
      <c r="F43" s="31"/>
      <c r="G43" s="52">
        <v>150.1516971901351</v>
      </c>
      <c r="H43" s="32">
        <v>15.0</v>
      </c>
      <c r="I43" s="33">
        <f t="shared" si="1"/>
        <v>1.246259087</v>
      </c>
      <c r="J43" s="33">
        <f t="shared" si="2"/>
        <v>166.3979563</v>
      </c>
      <c r="K43" s="30"/>
      <c r="L43" s="33">
        <f t="shared" si="3"/>
        <v>166.3979563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0.0" customHeight="1">
      <c r="A44" s="41">
        <v>38.0</v>
      </c>
      <c r="B44" s="30" t="s">
        <v>111</v>
      </c>
      <c r="C44" s="30"/>
      <c r="D44" s="30" t="s">
        <v>94</v>
      </c>
      <c r="E44" s="31">
        <v>45333.0</v>
      </c>
      <c r="F44" s="31"/>
      <c r="G44" s="52">
        <v>52.20973505341741</v>
      </c>
      <c r="H44" s="32"/>
      <c r="I44" s="33">
        <f t="shared" si="1"/>
        <v>0.4333408009</v>
      </c>
      <c r="J44" s="33">
        <f t="shared" si="2"/>
        <v>52.64307585</v>
      </c>
      <c r="K44" s="30"/>
      <c r="L44" s="33">
        <f t="shared" si="3"/>
        <v>52.64307585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0.0" customHeight="1">
      <c r="A45" s="41">
        <v>39.0</v>
      </c>
      <c r="B45" s="30" t="s">
        <v>112</v>
      </c>
      <c r="C45" s="30"/>
      <c r="D45" s="30" t="s">
        <v>94</v>
      </c>
      <c r="E45" s="31">
        <v>45245.0</v>
      </c>
      <c r="F45" s="31"/>
      <c r="G45" s="52">
        <v>20.930394988027018</v>
      </c>
      <c r="H45" s="32"/>
      <c r="I45" s="33">
        <f t="shared" si="1"/>
        <v>0.1737222784</v>
      </c>
      <c r="J45" s="33">
        <f t="shared" si="2"/>
        <v>21.10411727</v>
      </c>
      <c r="K45" s="30"/>
      <c r="L45" s="33">
        <f t="shared" si="3"/>
        <v>21.10411727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0.0" customHeight="1">
      <c r="A46" s="41">
        <v>40.0</v>
      </c>
      <c r="B46" s="30" t="s">
        <v>116</v>
      </c>
      <c r="C46" s="30"/>
      <c r="D46" s="30" t="s">
        <v>94</v>
      </c>
      <c r="E46" s="31">
        <v>45293.0</v>
      </c>
      <c r="F46" s="31"/>
      <c r="G46" s="52">
        <v>10.25107241787</v>
      </c>
      <c r="H46" s="32"/>
      <c r="I46" s="33">
        <f t="shared" si="1"/>
        <v>0.08508390107</v>
      </c>
      <c r="J46" s="33">
        <f t="shared" si="2"/>
        <v>10.33615632</v>
      </c>
      <c r="K46" s="30"/>
      <c r="L46" s="33">
        <f t="shared" si="3"/>
        <v>10.33615632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0.0" customHeight="1">
      <c r="A47" s="41">
        <v>41.0</v>
      </c>
      <c r="B47" s="30" t="s">
        <v>117</v>
      </c>
      <c r="C47" s="30"/>
      <c r="D47" s="30" t="s">
        <v>94</v>
      </c>
      <c r="E47" s="31">
        <v>45414.0</v>
      </c>
      <c r="F47" s="31"/>
      <c r="G47" s="52">
        <v>202.50380658935003</v>
      </c>
      <c r="H47" s="32">
        <v>50.0</v>
      </c>
      <c r="I47" s="33">
        <f t="shared" si="1"/>
        <v>1.680781595</v>
      </c>
      <c r="J47" s="33">
        <f t="shared" si="2"/>
        <v>254.1845882</v>
      </c>
      <c r="K47" s="30"/>
      <c r="L47" s="33">
        <f t="shared" si="3"/>
        <v>254.1845882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0.0" customHeight="1">
      <c r="A48" s="41">
        <v>42.0</v>
      </c>
      <c r="B48" s="30" t="s">
        <v>118</v>
      </c>
      <c r="C48" s="30"/>
      <c r="D48" s="30" t="s">
        <v>94</v>
      </c>
      <c r="E48" s="31">
        <v>45303.0</v>
      </c>
      <c r="F48" s="31"/>
      <c r="G48" s="52">
        <v>20.50214483574</v>
      </c>
      <c r="H48" s="32"/>
      <c r="I48" s="33">
        <f t="shared" si="1"/>
        <v>0.1701678021</v>
      </c>
      <c r="J48" s="33">
        <f t="shared" si="2"/>
        <v>20.67231264</v>
      </c>
      <c r="K48" s="30"/>
      <c r="L48" s="33">
        <f t="shared" si="3"/>
        <v>20.67231264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0.0" customHeight="1">
      <c r="A49" s="41">
        <v>43.0</v>
      </c>
      <c r="B49" s="30" t="s">
        <v>120</v>
      </c>
      <c r="C49" s="30"/>
      <c r="D49" s="30" t="s">
        <v>94</v>
      </c>
      <c r="E49" s="31">
        <v>45419.0</v>
      </c>
      <c r="F49" s="31"/>
      <c r="G49" s="52">
        <v>30.2496889</v>
      </c>
      <c r="H49" s="32">
        <v>10.0</v>
      </c>
      <c r="I49" s="33">
        <f t="shared" si="1"/>
        <v>0.2510724179</v>
      </c>
      <c r="J49" s="33">
        <f t="shared" si="2"/>
        <v>40.50076132</v>
      </c>
      <c r="K49" s="30"/>
      <c r="L49" s="33">
        <f t="shared" si="3"/>
        <v>40.50076132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0.0" customHeight="1">
      <c r="A50" s="41">
        <v>44.0</v>
      </c>
      <c r="B50" s="30" t="s">
        <v>121</v>
      </c>
      <c r="C50" s="30"/>
      <c r="D50" s="30" t="s">
        <v>94</v>
      </c>
      <c r="E50" s="31">
        <v>45324.0</v>
      </c>
      <c r="F50" s="31"/>
      <c r="G50" s="52">
        <v>10.1666889</v>
      </c>
      <c r="H50" s="32"/>
      <c r="I50" s="33">
        <f t="shared" si="1"/>
        <v>0.08438351787</v>
      </c>
      <c r="J50" s="33">
        <f t="shared" si="2"/>
        <v>10.25107242</v>
      </c>
      <c r="K50" s="30"/>
      <c r="L50" s="33">
        <f t="shared" si="3"/>
        <v>10.25107242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0.0" customHeight="1">
      <c r="A51" s="41">
        <v>45.0</v>
      </c>
      <c r="B51" s="30" t="s">
        <v>124</v>
      </c>
      <c r="C51" s="30"/>
      <c r="D51" s="30" t="s">
        <v>94</v>
      </c>
      <c r="E51" s="31">
        <v>45332.0</v>
      </c>
      <c r="F51" s="31"/>
      <c r="G51" s="52">
        <v>10.1666889</v>
      </c>
      <c r="H51" s="32"/>
      <c r="I51" s="33">
        <f t="shared" si="1"/>
        <v>0.08438351787</v>
      </c>
      <c r="J51" s="33">
        <f t="shared" si="2"/>
        <v>10.25107242</v>
      </c>
      <c r="K51" s="30"/>
      <c r="L51" s="33">
        <f t="shared" si="3"/>
        <v>10.25107242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0.0" customHeight="1">
      <c r="A52" s="41">
        <v>46.0</v>
      </c>
      <c r="B52" s="13" t="s">
        <v>125</v>
      </c>
      <c r="C52" s="13"/>
      <c r="D52" s="30" t="s">
        <v>94</v>
      </c>
      <c r="E52" s="14">
        <v>45423.0</v>
      </c>
      <c r="F52" s="14"/>
      <c r="G52" s="53">
        <v>50.083</v>
      </c>
      <c r="H52" s="32">
        <v>50.0</v>
      </c>
      <c r="I52" s="33">
        <f t="shared" si="1"/>
        <v>0.4156889</v>
      </c>
      <c r="J52" s="33">
        <f t="shared" si="2"/>
        <v>100.4986889</v>
      </c>
      <c r="K52" s="13"/>
      <c r="L52" s="33">
        <f t="shared" si="3"/>
        <v>100.4986889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0.0" customHeight="1">
      <c r="A53" s="41">
        <v>47.0</v>
      </c>
      <c r="B53" s="54" t="s">
        <v>126</v>
      </c>
      <c r="C53" s="13"/>
      <c r="D53" s="30" t="s">
        <v>94</v>
      </c>
      <c r="E53" s="14">
        <v>45420.0</v>
      </c>
      <c r="F53" s="14"/>
      <c r="G53" s="53">
        <v>176.245</v>
      </c>
      <c r="H53" s="32">
        <v>25.0</v>
      </c>
      <c r="I53" s="33">
        <f t="shared" si="1"/>
        <v>1.4628335</v>
      </c>
      <c r="J53" s="33">
        <f t="shared" si="2"/>
        <v>202.7078335</v>
      </c>
      <c r="K53" s="13"/>
      <c r="L53" s="33">
        <f t="shared" si="3"/>
        <v>202.7078335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0.0" customHeight="1">
      <c r="A54" s="41">
        <v>48.0</v>
      </c>
      <c r="B54" s="13" t="s">
        <v>127</v>
      </c>
      <c r="C54" s="13"/>
      <c r="D54" s="30" t="s">
        <v>94</v>
      </c>
      <c r="E54" s="14">
        <v>45420.0</v>
      </c>
      <c r="F54" s="14"/>
      <c r="G54" s="53">
        <v>20.166</v>
      </c>
      <c r="H54" s="32">
        <v>20.0</v>
      </c>
      <c r="I54" s="33">
        <f t="shared" si="1"/>
        <v>0.1673778</v>
      </c>
      <c r="J54" s="33">
        <f t="shared" si="2"/>
        <v>40.3333778</v>
      </c>
      <c r="K54" s="13"/>
      <c r="L54" s="33">
        <f t="shared" si="3"/>
        <v>40.3333778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0.0" customHeight="1">
      <c r="A55" s="41">
        <v>49.0</v>
      </c>
      <c r="B55" s="13" t="s">
        <v>128</v>
      </c>
      <c r="C55" s="13"/>
      <c r="D55" s="30" t="s">
        <v>94</v>
      </c>
      <c r="E55" s="14">
        <v>45414.0</v>
      </c>
      <c r="F55" s="14"/>
      <c r="G55" s="53">
        <v>20.083</v>
      </c>
      <c r="H55" s="32">
        <v>10.0</v>
      </c>
      <c r="I55" s="33">
        <f t="shared" si="1"/>
        <v>0.1666889</v>
      </c>
      <c r="J55" s="33">
        <f t="shared" si="2"/>
        <v>30.2496889</v>
      </c>
      <c r="K55" s="13"/>
      <c r="L55" s="33">
        <f t="shared" si="3"/>
        <v>30.2496889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0.0" customHeight="1">
      <c r="A56" s="41">
        <v>50.0</v>
      </c>
      <c r="B56" s="13" t="s">
        <v>129</v>
      </c>
      <c r="C56" s="13"/>
      <c r="D56" s="30" t="s">
        <v>94</v>
      </c>
      <c r="E56" s="14">
        <v>45423.0</v>
      </c>
      <c r="F56" s="14" t="s">
        <v>101</v>
      </c>
      <c r="G56" s="53">
        <v>100.415</v>
      </c>
      <c r="H56" s="32">
        <v>150.0</v>
      </c>
      <c r="I56" s="33">
        <f t="shared" si="1"/>
        <v>0.8334445</v>
      </c>
      <c r="J56" s="33">
        <f t="shared" si="2"/>
        <v>251.2484445</v>
      </c>
      <c r="K56" s="13"/>
      <c r="L56" s="33">
        <f t="shared" si="3"/>
        <v>251.2484445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0.0" customHeight="1">
      <c r="A57" s="41">
        <v>50.0</v>
      </c>
      <c r="B57" s="13" t="s">
        <v>132</v>
      </c>
      <c r="C57" s="13"/>
      <c r="D57" s="30" t="s">
        <v>94</v>
      </c>
      <c r="E57" s="14">
        <v>45420.0</v>
      </c>
      <c r="F57" s="14"/>
      <c r="G57" s="53">
        <v>5.0</v>
      </c>
      <c r="H57" s="32">
        <v>10.0</v>
      </c>
      <c r="I57" s="33">
        <f t="shared" si="1"/>
        <v>0.0415</v>
      </c>
      <c r="J57" s="33">
        <f t="shared" si="2"/>
        <v>15.0415</v>
      </c>
      <c r="K57" s="13"/>
      <c r="L57" s="33">
        <f t="shared" si="3"/>
        <v>15.0415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30.0" customHeight="1">
      <c r="A58" s="41">
        <v>51.0</v>
      </c>
      <c r="B58" s="13" t="s">
        <v>133</v>
      </c>
      <c r="C58" s="13"/>
      <c r="D58" s="30" t="s">
        <v>94</v>
      </c>
      <c r="E58" s="14">
        <v>45418.0</v>
      </c>
      <c r="F58" s="14"/>
      <c r="G58" s="53">
        <v>20.0</v>
      </c>
      <c r="H58" s="32">
        <v>30.0</v>
      </c>
      <c r="I58" s="33">
        <f t="shared" si="1"/>
        <v>0.166</v>
      </c>
      <c r="J58" s="33">
        <f t="shared" si="2"/>
        <v>50.166</v>
      </c>
      <c r="K58" s="13"/>
      <c r="L58" s="33">
        <f t="shared" si="3"/>
        <v>50.166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30.0" customHeight="1">
      <c r="A59" s="41">
        <v>52.0</v>
      </c>
      <c r="B59" s="30" t="s">
        <v>134</v>
      </c>
      <c r="C59" s="13"/>
      <c r="D59" s="30" t="s">
        <v>94</v>
      </c>
      <c r="E59" s="14">
        <v>45390.0</v>
      </c>
      <c r="F59" s="14" t="s">
        <v>131</v>
      </c>
      <c r="G59" s="53">
        <v>10.0</v>
      </c>
      <c r="H59" s="32">
        <v>10.0</v>
      </c>
      <c r="I59" s="33">
        <f t="shared" si="1"/>
        <v>0.083</v>
      </c>
      <c r="J59" s="33">
        <f t="shared" si="2"/>
        <v>20.083</v>
      </c>
      <c r="K59" s="13"/>
      <c r="L59" s="33">
        <f t="shared" si="3"/>
        <v>20.083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0.0" customHeight="1">
      <c r="A60" s="41">
        <v>53.0</v>
      </c>
      <c r="B60" s="13" t="s">
        <v>135</v>
      </c>
      <c r="C60" s="13"/>
      <c r="D60" s="30" t="s">
        <v>94</v>
      </c>
      <c r="E60" s="14">
        <v>45390.0</v>
      </c>
      <c r="F60" s="14" t="s">
        <v>131</v>
      </c>
      <c r="G60" s="53">
        <v>10.0</v>
      </c>
      <c r="H60" s="32">
        <v>10.0</v>
      </c>
      <c r="I60" s="33">
        <f t="shared" si="1"/>
        <v>0.083</v>
      </c>
      <c r="J60" s="33">
        <f t="shared" si="2"/>
        <v>20.083</v>
      </c>
      <c r="K60" s="13"/>
      <c r="L60" s="33">
        <f t="shared" si="3"/>
        <v>20.083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30.0" customHeight="1">
      <c r="A61" s="41">
        <v>54.0</v>
      </c>
      <c r="B61" s="13" t="s">
        <v>136</v>
      </c>
      <c r="C61" s="13"/>
      <c r="D61" s="30" t="s">
        <v>94</v>
      </c>
      <c r="E61" s="14">
        <v>45390.0</v>
      </c>
      <c r="F61" s="14" t="s">
        <v>131</v>
      </c>
      <c r="G61" s="53">
        <v>10.0</v>
      </c>
      <c r="H61" s="32">
        <v>10.0</v>
      </c>
      <c r="I61" s="33">
        <f t="shared" si="1"/>
        <v>0.083</v>
      </c>
      <c r="J61" s="33">
        <f t="shared" si="2"/>
        <v>20.083</v>
      </c>
      <c r="K61" s="13"/>
      <c r="L61" s="33">
        <f t="shared" si="3"/>
        <v>20.083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0.0" customHeight="1">
      <c r="A62" s="41">
        <v>55.0</v>
      </c>
      <c r="B62" s="13" t="s">
        <v>138</v>
      </c>
      <c r="C62" s="13"/>
      <c r="D62" s="30" t="s">
        <v>94</v>
      </c>
      <c r="E62" s="14">
        <v>45420.0</v>
      </c>
      <c r="F62" s="14"/>
      <c r="G62" s="53"/>
      <c r="H62" s="32">
        <v>10.0</v>
      </c>
      <c r="I62" s="33">
        <f t="shared" si="1"/>
        <v>0</v>
      </c>
      <c r="J62" s="33">
        <f t="shared" si="2"/>
        <v>10</v>
      </c>
      <c r="K62" s="13"/>
      <c r="L62" s="33">
        <f t="shared" si="3"/>
        <v>10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30.0" customHeight="1">
      <c r="A63" s="41"/>
      <c r="B63" s="13"/>
      <c r="C63" s="13"/>
      <c r="D63" s="30"/>
      <c r="E63" s="14"/>
      <c r="F63" s="14"/>
      <c r="G63" s="53"/>
      <c r="H63" s="32"/>
      <c r="I63" s="16"/>
      <c r="J63" s="33"/>
      <c r="K63" s="13"/>
      <c r="L63" s="3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30.0" customHeight="1">
      <c r="A64" s="41"/>
      <c r="B64" s="13"/>
      <c r="C64" s="13"/>
      <c r="D64" s="30"/>
      <c r="E64" s="14"/>
      <c r="F64" s="14"/>
      <c r="G64" s="53"/>
      <c r="H64" s="32"/>
      <c r="I64" s="16"/>
      <c r="J64" s="33"/>
      <c r="K64" s="13"/>
      <c r="L64" s="3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30.0" customHeight="1">
      <c r="A65" s="41"/>
      <c r="B65" s="13"/>
      <c r="C65" s="13"/>
      <c r="D65" s="30"/>
      <c r="E65" s="14"/>
      <c r="F65" s="14"/>
      <c r="G65" s="53"/>
      <c r="H65" s="32"/>
      <c r="I65" s="16"/>
      <c r="J65" s="33"/>
      <c r="K65" s="13"/>
      <c r="L65" s="3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30.0" customHeight="1">
      <c r="A66" s="41"/>
      <c r="B66" s="13"/>
      <c r="C66" s="13"/>
      <c r="D66" s="30"/>
      <c r="E66" s="14"/>
      <c r="F66" s="14"/>
      <c r="G66" s="53"/>
      <c r="H66" s="32"/>
      <c r="I66" s="16"/>
      <c r="J66" s="33"/>
      <c r="K66" s="13"/>
      <c r="L66" s="3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30.0" customHeight="1">
      <c r="A67" s="41"/>
      <c r="B67" s="13"/>
      <c r="C67" s="13"/>
      <c r="D67" s="30"/>
      <c r="E67" s="14"/>
      <c r="F67" s="14"/>
      <c r="G67" s="53"/>
      <c r="H67" s="32"/>
      <c r="I67" s="16"/>
      <c r="J67" s="33"/>
      <c r="K67" s="13"/>
      <c r="L67" s="3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30.0" customHeight="1">
      <c r="A68" s="41"/>
      <c r="B68" s="13"/>
      <c r="C68" s="13"/>
      <c r="D68" s="30"/>
      <c r="E68" s="14"/>
      <c r="F68" s="14"/>
      <c r="G68" s="53"/>
      <c r="H68" s="32"/>
      <c r="I68" s="16"/>
      <c r="J68" s="33"/>
      <c r="K68" s="13"/>
      <c r="L68" s="3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0" customHeight="1">
      <c r="A69" s="17"/>
      <c r="B69" s="13"/>
      <c r="C69" s="13"/>
      <c r="D69" s="13"/>
      <c r="E69" s="13"/>
      <c r="F69" s="13"/>
      <c r="G69" s="55">
        <f>SUM(G7:G59)</f>
        <v>46590.88301</v>
      </c>
      <c r="H69" s="18">
        <f>SUM(H7:H68)</f>
        <v>1267.1</v>
      </c>
      <c r="I69" s="18">
        <f>SUM(I7:I57)</f>
        <v>386.4553289</v>
      </c>
      <c r="J69" s="18">
        <f>SUM(J7:J59)</f>
        <v>48214.68733</v>
      </c>
      <c r="K69" s="18">
        <f>SUM(K7:K55)</f>
        <v>0</v>
      </c>
      <c r="L69" s="18">
        <f>SUM(L7:L59)</f>
        <v>48214.68733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2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51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10.29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139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45422.0</v>
      </c>
      <c r="F7" s="31"/>
      <c r="G7" s="52">
        <v>4479.210405109479</v>
      </c>
      <c r="H7" s="32"/>
      <c r="I7" s="33">
        <f t="shared" ref="I7:I62" si="1">G7*0.83%</f>
        <v>37.17744636</v>
      </c>
      <c r="J7" s="33">
        <f t="shared" ref="J7:J62" si="2">G7+H7+I7</f>
        <v>4516.387851</v>
      </c>
      <c r="K7" s="30"/>
      <c r="L7" s="33">
        <f t="shared" ref="L7:L62" si="3">J7-K7</f>
        <v>4516.387851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45422.0</v>
      </c>
      <c r="F8" s="31"/>
      <c r="G8" s="52">
        <v>7106.741770796648</v>
      </c>
      <c r="H8" s="32"/>
      <c r="I8" s="33">
        <f t="shared" si="1"/>
        <v>58.9859567</v>
      </c>
      <c r="J8" s="33">
        <f t="shared" si="2"/>
        <v>7165.727727</v>
      </c>
      <c r="K8" s="30"/>
      <c r="L8" s="33">
        <f t="shared" si="3"/>
        <v>7165.727727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45423.0</v>
      </c>
      <c r="F9" s="31"/>
      <c r="G9" s="52">
        <v>7145.206505661377</v>
      </c>
      <c r="H9" s="38">
        <v>100.0</v>
      </c>
      <c r="I9" s="33">
        <f t="shared" si="1"/>
        <v>59.305214</v>
      </c>
      <c r="J9" s="33">
        <f t="shared" si="2"/>
        <v>7304.51172</v>
      </c>
      <c r="K9" s="30"/>
      <c r="L9" s="33">
        <f t="shared" si="3"/>
        <v>7304.51172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52">
        <v>3001.2689460451043</v>
      </c>
      <c r="H10" s="32"/>
      <c r="I10" s="32">
        <f t="shared" si="1"/>
        <v>24.91053225</v>
      </c>
      <c r="J10" s="32">
        <f t="shared" si="2"/>
        <v>3026.179478</v>
      </c>
      <c r="K10" s="34"/>
      <c r="L10" s="32">
        <f t="shared" si="3"/>
        <v>3026.179478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45239.0</v>
      </c>
      <c r="F11" s="35"/>
      <c r="G11" s="52">
        <v>451.2150684898883</v>
      </c>
      <c r="H11" s="38">
        <v>30.0</v>
      </c>
      <c r="I11" s="32">
        <f t="shared" si="1"/>
        <v>3.745085068</v>
      </c>
      <c r="J11" s="32">
        <f t="shared" si="2"/>
        <v>484.9601536</v>
      </c>
      <c r="K11" s="34"/>
      <c r="L11" s="32">
        <f t="shared" si="3"/>
        <v>484.9601536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45383.0</v>
      </c>
      <c r="F12" s="35"/>
      <c r="G12" s="52">
        <v>2601.689386569931</v>
      </c>
      <c r="H12" s="38">
        <v>25.0</v>
      </c>
      <c r="I12" s="32">
        <f t="shared" si="1"/>
        <v>21.59402191</v>
      </c>
      <c r="J12" s="32">
        <f t="shared" si="2"/>
        <v>2648.283408</v>
      </c>
      <c r="K12" s="34"/>
      <c r="L12" s="32">
        <f t="shared" si="3"/>
        <v>2648.283408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45422.0</v>
      </c>
      <c r="F13" s="31"/>
      <c r="G13" s="52">
        <v>6913.000458322017</v>
      </c>
      <c r="H13" s="38">
        <v>63.88</v>
      </c>
      <c r="I13" s="33">
        <f t="shared" si="1"/>
        <v>57.3779038</v>
      </c>
      <c r="J13" s="33">
        <f t="shared" si="2"/>
        <v>7034.258362</v>
      </c>
      <c r="K13" s="30"/>
      <c r="L13" s="33">
        <f t="shared" si="3"/>
        <v>7034.258362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45814.0</v>
      </c>
      <c r="F14" s="31"/>
      <c r="G14" s="52">
        <v>6590.77322625473</v>
      </c>
      <c r="H14" s="38">
        <v>50.0</v>
      </c>
      <c r="I14" s="33">
        <f t="shared" si="1"/>
        <v>54.70341778</v>
      </c>
      <c r="J14" s="33">
        <f t="shared" si="2"/>
        <v>6695.476644</v>
      </c>
      <c r="K14" s="30"/>
      <c r="L14" s="33">
        <f t="shared" si="3"/>
        <v>6695.476644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41">
        <v>9.0</v>
      </c>
      <c r="B15" s="30" t="s">
        <v>49</v>
      </c>
      <c r="C15" s="30" t="s">
        <v>91</v>
      </c>
      <c r="D15" s="30" t="s">
        <v>94</v>
      </c>
      <c r="E15" s="31">
        <v>45418.0</v>
      </c>
      <c r="F15" s="31" t="s">
        <v>38</v>
      </c>
      <c r="G15" s="52">
        <v>100.30304495674184</v>
      </c>
      <c r="H15" s="38">
        <v>10.0</v>
      </c>
      <c r="I15" s="33">
        <f t="shared" si="1"/>
        <v>0.8325152731</v>
      </c>
      <c r="J15" s="33">
        <f t="shared" si="2"/>
        <v>111.1355602</v>
      </c>
      <c r="K15" s="30"/>
      <c r="L15" s="33">
        <f t="shared" si="3"/>
        <v>111.1355602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10.0</v>
      </c>
      <c r="B16" s="30" t="s">
        <v>58</v>
      </c>
      <c r="C16" s="30" t="s">
        <v>93</v>
      </c>
      <c r="D16" s="30" t="s">
        <v>94</v>
      </c>
      <c r="E16" s="31">
        <v>45383.0</v>
      </c>
      <c r="F16" s="31" t="s">
        <v>39</v>
      </c>
      <c r="G16" s="52">
        <v>286.12570786073184</v>
      </c>
      <c r="H16" s="32"/>
      <c r="I16" s="33">
        <f t="shared" si="1"/>
        <v>2.374843375</v>
      </c>
      <c r="J16" s="33">
        <f t="shared" si="2"/>
        <v>288.5005512</v>
      </c>
      <c r="K16" s="30"/>
      <c r="L16" s="33">
        <f t="shared" si="3"/>
        <v>288.5005512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11.0</v>
      </c>
      <c r="B17" s="30" t="s">
        <v>51</v>
      </c>
      <c r="C17" s="30" t="s">
        <v>91</v>
      </c>
      <c r="D17" s="30" t="s">
        <v>94</v>
      </c>
      <c r="E17" s="31">
        <v>45294.0</v>
      </c>
      <c r="F17" s="31" t="s">
        <v>34</v>
      </c>
      <c r="G17" s="52">
        <v>96.99487385624617</v>
      </c>
      <c r="H17" s="32"/>
      <c r="I17" s="33">
        <f t="shared" si="1"/>
        <v>0.805057453</v>
      </c>
      <c r="J17" s="33">
        <f t="shared" si="2"/>
        <v>97.79993131</v>
      </c>
      <c r="K17" s="30"/>
      <c r="L17" s="33">
        <f t="shared" si="3"/>
        <v>97.79993131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52">
        <v>84.43602044478557</v>
      </c>
      <c r="H18" s="32"/>
      <c r="I18" s="33">
        <f t="shared" si="1"/>
        <v>0.7008189697</v>
      </c>
      <c r="J18" s="33">
        <f t="shared" si="2"/>
        <v>85.13683941</v>
      </c>
      <c r="K18" s="30"/>
      <c r="L18" s="33">
        <f t="shared" si="3"/>
        <v>85.13683941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13.0</v>
      </c>
      <c r="B19" s="30" t="s">
        <v>72</v>
      </c>
      <c r="C19" s="30" t="s">
        <v>91</v>
      </c>
      <c r="D19" s="30" t="s">
        <v>94</v>
      </c>
      <c r="E19" s="31">
        <v>45387.0</v>
      </c>
      <c r="F19" s="31" t="s">
        <v>38</v>
      </c>
      <c r="G19" s="52">
        <v>191.88650651381624</v>
      </c>
      <c r="H19" s="38">
        <v>20.0</v>
      </c>
      <c r="I19" s="33">
        <f t="shared" si="1"/>
        <v>1.592658004</v>
      </c>
      <c r="J19" s="33">
        <f t="shared" si="2"/>
        <v>213.4791645</v>
      </c>
      <c r="K19" s="30"/>
      <c r="L19" s="33">
        <f t="shared" si="3"/>
        <v>213.4791645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41">
        <v>14.0</v>
      </c>
      <c r="B20" s="34" t="s">
        <v>54</v>
      </c>
      <c r="C20" s="34" t="s">
        <v>91</v>
      </c>
      <c r="D20" s="30" t="s">
        <v>94</v>
      </c>
      <c r="E20" s="35">
        <v>45445.0</v>
      </c>
      <c r="F20" s="35" t="s">
        <v>34</v>
      </c>
      <c r="G20" s="52">
        <v>1274.4313613240765</v>
      </c>
      <c r="H20" s="38">
        <v>100.0</v>
      </c>
      <c r="I20" s="32">
        <f t="shared" si="1"/>
        <v>10.5777803</v>
      </c>
      <c r="J20" s="32">
        <f t="shared" si="2"/>
        <v>1385.009142</v>
      </c>
      <c r="K20" s="34"/>
      <c r="L20" s="32">
        <f t="shared" si="3"/>
        <v>1385.009142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41">
        <v>15.0</v>
      </c>
      <c r="B21" s="30" t="s">
        <v>55</v>
      </c>
      <c r="C21" s="30" t="s">
        <v>91</v>
      </c>
      <c r="D21" s="30" t="s">
        <v>94</v>
      </c>
      <c r="E21" s="31">
        <v>45386.0</v>
      </c>
      <c r="F21" s="31" t="s">
        <v>33</v>
      </c>
      <c r="G21" s="52">
        <v>144.15932180037063</v>
      </c>
      <c r="H21" s="38">
        <v>15.0</v>
      </c>
      <c r="I21" s="33">
        <f t="shared" si="1"/>
        <v>1.196522371</v>
      </c>
      <c r="J21" s="33">
        <f t="shared" si="2"/>
        <v>160.3558442</v>
      </c>
      <c r="K21" s="30"/>
      <c r="L21" s="33">
        <f t="shared" si="3"/>
        <v>160.3558442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16.0</v>
      </c>
      <c r="B22" s="30" t="s">
        <v>40</v>
      </c>
      <c r="C22" s="30" t="s">
        <v>91</v>
      </c>
      <c r="D22" s="30" t="s">
        <v>94</v>
      </c>
      <c r="E22" s="31">
        <v>45415.0</v>
      </c>
      <c r="F22" s="31" t="s">
        <v>38</v>
      </c>
      <c r="G22" s="52">
        <v>1310.5776462245342</v>
      </c>
      <c r="H22" s="38">
        <v>50.0</v>
      </c>
      <c r="I22" s="33">
        <f t="shared" si="1"/>
        <v>10.87779446</v>
      </c>
      <c r="J22" s="33">
        <f t="shared" si="2"/>
        <v>1371.455441</v>
      </c>
      <c r="K22" s="30"/>
      <c r="L22" s="33">
        <f t="shared" si="3"/>
        <v>1371.455441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17.0</v>
      </c>
      <c r="B23" s="34" t="s">
        <v>41</v>
      </c>
      <c r="C23" s="34" t="s">
        <v>91</v>
      </c>
      <c r="D23" s="30" t="s">
        <v>94</v>
      </c>
      <c r="E23" s="35">
        <v>45414.0</v>
      </c>
      <c r="F23" s="35" t="s">
        <v>34</v>
      </c>
      <c r="G23" s="52">
        <v>227.59720771847086</v>
      </c>
      <c r="H23" s="56">
        <v>20.0</v>
      </c>
      <c r="I23" s="32">
        <f t="shared" si="1"/>
        <v>1.889056824</v>
      </c>
      <c r="J23" s="32">
        <f t="shared" si="2"/>
        <v>249.4862645</v>
      </c>
      <c r="K23" s="34"/>
      <c r="L23" s="32">
        <f t="shared" si="3"/>
        <v>249.4862645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18.0</v>
      </c>
      <c r="B24" s="30" t="s">
        <v>95</v>
      </c>
      <c r="C24" s="30" t="s">
        <v>93</v>
      </c>
      <c r="D24" s="30" t="s">
        <v>94</v>
      </c>
      <c r="E24" s="31">
        <v>45427.0</v>
      </c>
      <c r="F24" s="31" t="s">
        <v>39</v>
      </c>
      <c r="G24" s="52">
        <v>548.6000940383676</v>
      </c>
      <c r="H24" s="56">
        <v>40.0</v>
      </c>
      <c r="I24" s="33">
        <f t="shared" si="1"/>
        <v>4.553380781</v>
      </c>
      <c r="J24" s="33">
        <f t="shared" si="2"/>
        <v>593.1534748</v>
      </c>
      <c r="K24" s="30"/>
      <c r="L24" s="33">
        <f t="shared" si="3"/>
        <v>593.1534748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19.0</v>
      </c>
      <c r="B25" s="30" t="s">
        <v>96</v>
      </c>
      <c r="C25" s="30" t="s">
        <v>91</v>
      </c>
      <c r="D25" s="30" t="s">
        <v>94</v>
      </c>
      <c r="E25" s="31">
        <v>45388.0</v>
      </c>
      <c r="F25" s="31" t="s">
        <v>33</v>
      </c>
      <c r="G25" s="52">
        <v>224.16555013763067</v>
      </c>
      <c r="H25" s="39"/>
      <c r="I25" s="33">
        <f t="shared" si="1"/>
        <v>1.860574066</v>
      </c>
      <c r="J25" s="33">
        <f t="shared" si="2"/>
        <v>226.0261242</v>
      </c>
      <c r="K25" s="30"/>
      <c r="L25" s="33">
        <f t="shared" si="3"/>
        <v>226.0261242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>
        <v>45386.0</v>
      </c>
      <c r="F26" s="31" t="s">
        <v>34</v>
      </c>
      <c r="G26" s="52">
        <v>79.09996293497362</v>
      </c>
      <c r="H26" s="39"/>
      <c r="I26" s="33">
        <f t="shared" si="1"/>
        <v>0.6565296924</v>
      </c>
      <c r="J26" s="33">
        <f t="shared" si="2"/>
        <v>79.75649263</v>
      </c>
      <c r="K26" s="30"/>
      <c r="L26" s="33">
        <f t="shared" si="3"/>
        <v>79.75649263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52">
        <v>116.10776322705503</v>
      </c>
      <c r="H27" s="39"/>
      <c r="I27" s="32">
        <f t="shared" si="1"/>
        <v>0.9636944348</v>
      </c>
      <c r="J27" s="32">
        <f t="shared" si="2"/>
        <v>117.0714577</v>
      </c>
      <c r="K27" s="34"/>
      <c r="L27" s="32">
        <f t="shared" si="3"/>
        <v>117.0714577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52">
        <v>136.69695635112893</v>
      </c>
      <c r="H28" s="39"/>
      <c r="I28" s="33">
        <f t="shared" si="1"/>
        <v>1.134584738</v>
      </c>
      <c r="J28" s="33">
        <f t="shared" si="2"/>
        <v>137.8315411</v>
      </c>
      <c r="K28" s="30"/>
      <c r="L28" s="33">
        <f t="shared" si="3"/>
        <v>137.8315411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45422.0</v>
      </c>
      <c r="F29" s="31" t="s">
        <v>39</v>
      </c>
      <c r="G29" s="52">
        <v>886.2727614976318</v>
      </c>
      <c r="H29" s="56">
        <v>100.0</v>
      </c>
      <c r="I29" s="33">
        <f t="shared" si="1"/>
        <v>7.35606392</v>
      </c>
      <c r="J29" s="33">
        <f t="shared" si="2"/>
        <v>993.6288254</v>
      </c>
      <c r="K29" s="30"/>
      <c r="L29" s="33">
        <f t="shared" si="3"/>
        <v>993.6288254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45420.0</v>
      </c>
      <c r="F30" s="31" t="s">
        <v>40</v>
      </c>
      <c r="G30" s="52">
        <v>644.4560106795341</v>
      </c>
      <c r="H30" s="39"/>
      <c r="I30" s="33">
        <f t="shared" si="1"/>
        <v>5.348984889</v>
      </c>
      <c r="J30" s="33">
        <f t="shared" si="2"/>
        <v>649.8049956</v>
      </c>
      <c r="K30" s="30"/>
      <c r="L30" s="33">
        <f t="shared" si="3"/>
        <v>649.8049956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45383.0</v>
      </c>
      <c r="F31" s="31" t="s">
        <v>39</v>
      </c>
      <c r="G31" s="52">
        <v>42.33518717656689</v>
      </c>
      <c r="H31" s="39"/>
      <c r="I31" s="33">
        <f t="shared" si="1"/>
        <v>0.3513820536</v>
      </c>
      <c r="J31" s="33">
        <f t="shared" si="2"/>
        <v>42.68656923</v>
      </c>
      <c r="K31" s="30"/>
      <c r="L31" s="33">
        <f t="shared" si="3"/>
        <v>42.68656923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52">
        <v>64.91525349920873</v>
      </c>
      <c r="H32" s="39"/>
      <c r="I32" s="33">
        <f t="shared" si="1"/>
        <v>0.538796604</v>
      </c>
      <c r="J32" s="33">
        <f t="shared" si="2"/>
        <v>65.4540501</v>
      </c>
      <c r="K32" s="30"/>
      <c r="L32" s="33">
        <f t="shared" si="3"/>
        <v>65.4540501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52">
        <v>217.2339342120215</v>
      </c>
      <c r="H33" s="39"/>
      <c r="I33" s="33">
        <f t="shared" si="1"/>
        <v>1.803041654</v>
      </c>
      <c r="J33" s="33">
        <f t="shared" si="2"/>
        <v>219.0369759</v>
      </c>
      <c r="K33" s="30"/>
      <c r="L33" s="33">
        <f t="shared" si="3"/>
        <v>219.0369759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45427.0</v>
      </c>
      <c r="F34" s="31" t="s">
        <v>39</v>
      </c>
      <c r="G34" s="52">
        <v>66.69699605677407</v>
      </c>
      <c r="H34" s="32"/>
      <c r="I34" s="33">
        <f t="shared" si="1"/>
        <v>0.5535850673</v>
      </c>
      <c r="J34" s="33">
        <f t="shared" si="2"/>
        <v>67.25058112</v>
      </c>
      <c r="K34" s="30"/>
      <c r="L34" s="33">
        <f t="shared" si="3"/>
        <v>67.25058112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45235.0</v>
      </c>
      <c r="F35" s="31"/>
      <c r="G35" s="52">
        <v>1052.156778646431</v>
      </c>
      <c r="H35" s="32"/>
      <c r="I35" s="33">
        <f t="shared" si="1"/>
        <v>8.732901263</v>
      </c>
      <c r="J35" s="33">
        <f t="shared" si="2"/>
        <v>1060.88968</v>
      </c>
      <c r="K35" s="30"/>
      <c r="L35" s="33">
        <f t="shared" si="3"/>
        <v>1060.88968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52">
        <v>15.807003866489936</v>
      </c>
      <c r="H36" s="32"/>
      <c r="I36" s="33">
        <f t="shared" si="1"/>
        <v>0.1311981321</v>
      </c>
      <c r="J36" s="33">
        <f t="shared" si="2"/>
        <v>15.938202</v>
      </c>
      <c r="K36" s="30"/>
      <c r="L36" s="33">
        <f t="shared" si="3"/>
        <v>15.938202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0.0" customHeight="1">
      <c r="A37" s="41">
        <v>31.0</v>
      </c>
      <c r="B37" s="30" t="s">
        <v>104</v>
      </c>
      <c r="C37" s="30"/>
      <c r="D37" s="30" t="s">
        <v>94</v>
      </c>
      <c r="E37" s="31">
        <v>45416.0</v>
      </c>
      <c r="F37" s="31"/>
      <c r="G37" s="52">
        <v>108.29443862943222</v>
      </c>
      <c r="H37" s="32"/>
      <c r="I37" s="33">
        <f t="shared" si="1"/>
        <v>0.8988438406</v>
      </c>
      <c r="J37" s="33">
        <f t="shared" si="2"/>
        <v>109.1932825</v>
      </c>
      <c r="K37" s="30"/>
      <c r="L37" s="33">
        <f t="shared" si="3"/>
        <v>109.1932825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32.0</v>
      </c>
      <c r="B38" s="30" t="s">
        <v>105</v>
      </c>
      <c r="C38" s="30"/>
      <c r="D38" s="30" t="s">
        <v>94</v>
      </c>
      <c r="E38" s="31">
        <v>45420.0</v>
      </c>
      <c r="F38" s="31"/>
      <c r="G38" s="52">
        <v>229.5753165051582</v>
      </c>
      <c r="H38" s="38">
        <v>5.0</v>
      </c>
      <c r="I38" s="33">
        <f t="shared" si="1"/>
        <v>1.905475127</v>
      </c>
      <c r="J38" s="33">
        <f t="shared" si="2"/>
        <v>236.4807916</v>
      </c>
      <c r="K38" s="30"/>
      <c r="L38" s="33">
        <f t="shared" si="3"/>
        <v>236.4807916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33.0</v>
      </c>
      <c r="B39" s="30" t="s">
        <v>106</v>
      </c>
      <c r="C39" s="30"/>
      <c r="D39" s="30" t="s">
        <v>94</v>
      </c>
      <c r="E39" s="31">
        <v>45414.0</v>
      </c>
      <c r="F39" s="31"/>
      <c r="G39" s="52">
        <v>82.36298131962147</v>
      </c>
      <c r="H39" s="32"/>
      <c r="I39" s="33">
        <f t="shared" si="1"/>
        <v>0.683612745</v>
      </c>
      <c r="J39" s="33">
        <f t="shared" si="2"/>
        <v>83.04659406</v>
      </c>
      <c r="K39" s="30"/>
      <c r="L39" s="33">
        <f t="shared" si="3"/>
        <v>83.04659406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0.0" customHeight="1">
      <c r="A40" s="41">
        <v>34.0</v>
      </c>
      <c r="B40" s="30" t="s">
        <v>107</v>
      </c>
      <c r="C40" s="30"/>
      <c r="D40" s="30" t="s">
        <v>94</v>
      </c>
      <c r="E40" s="31">
        <v>45414.0</v>
      </c>
      <c r="F40" s="31"/>
      <c r="G40" s="52">
        <v>205.06002933924293</v>
      </c>
      <c r="H40" s="32"/>
      <c r="I40" s="33">
        <f t="shared" si="1"/>
        <v>1.701998244</v>
      </c>
      <c r="J40" s="33">
        <f t="shared" si="2"/>
        <v>206.7620276</v>
      </c>
      <c r="K40" s="30"/>
      <c r="L40" s="33">
        <f t="shared" si="3"/>
        <v>206.7620276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0.0" customHeight="1">
      <c r="A41" s="41">
        <v>35.0</v>
      </c>
      <c r="B41" s="30" t="s">
        <v>108</v>
      </c>
      <c r="C41" s="30"/>
      <c r="D41" s="30" t="s">
        <v>94</v>
      </c>
      <c r="E41" s="31">
        <v>45330.0</v>
      </c>
      <c r="F41" s="31"/>
      <c r="G41" s="52">
        <v>52.113292419621466</v>
      </c>
      <c r="H41" s="38">
        <v>5.0</v>
      </c>
      <c r="I41" s="33">
        <f t="shared" si="1"/>
        <v>0.4325403271</v>
      </c>
      <c r="J41" s="33">
        <f t="shared" si="2"/>
        <v>57.54583275</v>
      </c>
      <c r="K41" s="30"/>
      <c r="L41" s="33">
        <f t="shared" si="3"/>
        <v>57.54583275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0.0" customHeight="1">
      <c r="A42" s="41">
        <v>36.0</v>
      </c>
      <c r="B42" s="30" t="s">
        <v>109</v>
      </c>
      <c r="C42" s="30"/>
      <c r="D42" s="30" t="s">
        <v>94</v>
      </c>
      <c r="E42" s="31">
        <v>45333.0</v>
      </c>
      <c r="F42" s="31"/>
      <c r="G42" s="52">
        <v>140.44991994905368</v>
      </c>
      <c r="H42" s="38">
        <v>25.0</v>
      </c>
      <c r="I42" s="33">
        <f t="shared" si="1"/>
        <v>1.165734336</v>
      </c>
      <c r="J42" s="33">
        <f t="shared" si="2"/>
        <v>166.6156543</v>
      </c>
      <c r="K42" s="30"/>
      <c r="L42" s="33">
        <f t="shared" si="3"/>
        <v>166.6156543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0.0" customHeight="1">
      <c r="A43" s="41">
        <v>37.0</v>
      </c>
      <c r="B43" s="30" t="s">
        <v>110</v>
      </c>
      <c r="C43" s="30"/>
      <c r="D43" s="30" t="s">
        <v>94</v>
      </c>
      <c r="E43" s="31">
        <v>45418.0</v>
      </c>
      <c r="F43" s="31"/>
      <c r="G43" s="52">
        <v>166.39795627681323</v>
      </c>
      <c r="H43" s="32"/>
      <c r="I43" s="33">
        <f t="shared" si="1"/>
        <v>1.381103037</v>
      </c>
      <c r="J43" s="33">
        <f t="shared" si="2"/>
        <v>167.7790593</v>
      </c>
      <c r="K43" s="30"/>
      <c r="L43" s="33">
        <f t="shared" si="3"/>
        <v>167.7790593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0.0" customHeight="1">
      <c r="A44" s="41">
        <v>38.0</v>
      </c>
      <c r="B44" s="30" t="s">
        <v>111</v>
      </c>
      <c r="C44" s="30"/>
      <c r="D44" s="30" t="s">
        <v>94</v>
      </c>
      <c r="E44" s="31">
        <v>45333.0</v>
      </c>
      <c r="F44" s="31"/>
      <c r="G44" s="52">
        <v>52.643075854360774</v>
      </c>
      <c r="H44" s="32"/>
      <c r="I44" s="33">
        <f t="shared" si="1"/>
        <v>0.4369375296</v>
      </c>
      <c r="J44" s="33">
        <f t="shared" si="2"/>
        <v>53.08001338</v>
      </c>
      <c r="K44" s="30"/>
      <c r="L44" s="33">
        <f t="shared" si="3"/>
        <v>53.08001338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0.0" customHeight="1">
      <c r="A45" s="41">
        <v>39.0</v>
      </c>
      <c r="B45" s="30" t="s">
        <v>112</v>
      </c>
      <c r="C45" s="30"/>
      <c r="D45" s="30" t="s">
        <v>94</v>
      </c>
      <c r="E45" s="31">
        <v>45245.0</v>
      </c>
      <c r="F45" s="31"/>
      <c r="G45" s="52">
        <v>21.104117266427643</v>
      </c>
      <c r="H45" s="32"/>
      <c r="I45" s="33">
        <f t="shared" si="1"/>
        <v>0.1751641733</v>
      </c>
      <c r="J45" s="33">
        <f t="shared" si="2"/>
        <v>21.27928144</v>
      </c>
      <c r="K45" s="30"/>
      <c r="L45" s="33">
        <f t="shared" si="3"/>
        <v>21.27928144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0.0" customHeight="1">
      <c r="A46" s="41">
        <v>40.0</v>
      </c>
      <c r="B46" s="30" t="s">
        <v>116</v>
      </c>
      <c r="C46" s="30"/>
      <c r="D46" s="30" t="s">
        <v>94</v>
      </c>
      <c r="E46" s="31">
        <v>45293.0</v>
      </c>
      <c r="F46" s="31"/>
      <c r="G46" s="52">
        <v>10.336156318938322</v>
      </c>
      <c r="H46" s="32"/>
      <c r="I46" s="33">
        <f t="shared" si="1"/>
        <v>0.08579009745</v>
      </c>
      <c r="J46" s="33">
        <f t="shared" si="2"/>
        <v>10.42194642</v>
      </c>
      <c r="K46" s="30"/>
      <c r="L46" s="33">
        <f t="shared" si="3"/>
        <v>10.42194642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0.0" customHeight="1">
      <c r="A47" s="41">
        <v>41.0</v>
      </c>
      <c r="B47" s="30" t="s">
        <v>117</v>
      </c>
      <c r="C47" s="30"/>
      <c r="D47" s="30" t="s">
        <v>94</v>
      </c>
      <c r="E47" s="31">
        <v>45414.0</v>
      </c>
      <c r="F47" s="31"/>
      <c r="G47" s="52">
        <v>254.18458818404164</v>
      </c>
      <c r="H47" s="38">
        <v>50.0</v>
      </c>
      <c r="I47" s="33">
        <f t="shared" si="1"/>
        <v>2.109732082</v>
      </c>
      <c r="J47" s="33">
        <f t="shared" si="2"/>
        <v>306.2943203</v>
      </c>
      <c r="K47" s="30"/>
      <c r="L47" s="33">
        <f t="shared" si="3"/>
        <v>306.2943203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0.0" customHeight="1">
      <c r="A48" s="41">
        <v>42.0</v>
      </c>
      <c r="B48" s="30" t="s">
        <v>118</v>
      </c>
      <c r="C48" s="30"/>
      <c r="D48" s="30" t="s">
        <v>94</v>
      </c>
      <c r="E48" s="31">
        <v>45303.0</v>
      </c>
      <c r="F48" s="31"/>
      <c r="G48" s="52">
        <v>20.672312637876644</v>
      </c>
      <c r="H48" s="32"/>
      <c r="I48" s="33">
        <f t="shared" si="1"/>
        <v>0.1715801949</v>
      </c>
      <c r="J48" s="33">
        <f t="shared" si="2"/>
        <v>20.84389283</v>
      </c>
      <c r="K48" s="30"/>
      <c r="L48" s="33">
        <f t="shared" si="3"/>
        <v>20.84389283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0.0" customHeight="1">
      <c r="A49" s="41">
        <v>43.0</v>
      </c>
      <c r="B49" s="30" t="s">
        <v>120</v>
      </c>
      <c r="C49" s="30"/>
      <c r="D49" s="30" t="s">
        <v>94</v>
      </c>
      <c r="E49" s="31">
        <v>45419.0</v>
      </c>
      <c r="F49" s="31"/>
      <c r="G49" s="52">
        <v>40.500761317869994</v>
      </c>
      <c r="H49" s="57">
        <v>10.0</v>
      </c>
      <c r="I49" s="33">
        <f t="shared" si="1"/>
        <v>0.3361563189</v>
      </c>
      <c r="J49" s="33">
        <f t="shared" si="2"/>
        <v>50.83691764</v>
      </c>
      <c r="K49" s="30"/>
      <c r="L49" s="33">
        <f t="shared" si="3"/>
        <v>50.83691764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0.0" customHeight="1">
      <c r="A50" s="41">
        <v>44.0</v>
      </c>
      <c r="B50" s="30" t="s">
        <v>121</v>
      </c>
      <c r="C50" s="30"/>
      <c r="D50" s="30" t="s">
        <v>94</v>
      </c>
      <c r="E50" s="31">
        <v>45324.0</v>
      </c>
      <c r="F50" s="31"/>
      <c r="G50" s="52">
        <v>10.25107241787</v>
      </c>
      <c r="H50" s="32"/>
      <c r="I50" s="33">
        <f t="shared" si="1"/>
        <v>0.08508390107</v>
      </c>
      <c r="J50" s="33">
        <f t="shared" si="2"/>
        <v>10.33615632</v>
      </c>
      <c r="K50" s="30"/>
      <c r="L50" s="33">
        <f t="shared" si="3"/>
        <v>10.33615632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0.0" customHeight="1">
      <c r="A51" s="41">
        <v>45.0</v>
      </c>
      <c r="B51" s="30" t="s">
        <v>124</v>
      </c>
      <c r="C51" s="30"/>
      <c r="D51" s="30" t="s">
        <v>94</v>
      </c>
      <c r="E51" s="31">
        <v>45332.0</v>
      </c>
      <c r="F51" s="31"/>
      <c r="G51" s="52">
        <v>10.25107241787</v>
      </c>
      <c r="H51" s="32"/>
      <c r="I51" s="33">
        <f t="shared" si="1"/>
        <v>0.08508390107</v>
      </c>
      <c r="J51" s="33">
        <f t="shared" si="2"/>
        <v>10.33615632</v>
      </c>
      <c r="K51" s="30"/>
      <c r="L51" s="33">
        <f t="shared" si="3"/>
        <v>10.33615632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0.0" customHeight="1">
      <c r="A52" s="41">
        <v>46.0</v>
      </c>
      <c r="B52" s="13" t="s">
        <v>125</v>
      </c>
      <c r="C52" s="13"/>
      <c r="D52" s="30" t="s">
        <v>94</v>
      </c>
      <c r="E52" s="14">
        <v>45423.0</v>
      </c>
      <c r="F52" s="14"/>
      <c r="G52" s="53">
        <v>100.4986889</v>
      </c>
      <c r="H52" s="32"/>
      <c r="I52" s="33">
        <f t="shared" si="1"/>
        <v>0.8341391179</v>
      </c>
      <c r="J52" s="33">
        <f t="shared" si="2"/>
        <v>101.332828</v>
      </c>
      <c r="K52" s="13"/>
      <c r="L52" s="33">
        <f t="shared" si="3"/>
        <v>101.332828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0.0" customHeight="1">
      <c r="A53" s="41">
        <v>47.0</v>
      </c>
      <c r="B53" s="54" t="s">
        <v>126</v>
      </c>
      <c r="C53" s="13"/>
      <c r="D53" s="30" t="s">
        <v>94</v>
      </c>
      <c r="E53" s="14">
        <v>45420.0</v>
      </c>
      <c r="F53" s="14"/>
      <c r="G53" s="53">
        <v>202.7078335</v>
      </c>
      <c r="H53" s="32">
        <v>10.0</v>
      </c>
      <c r="I53" s="33">
        <f t="shared" si="1"/>
        <v>1.682475018</v>
      </c>
      <c r="J53" s="33">
        <f t="shared" si="2"/>
        <v>214.3903085</v>
      </c>
      <c r="K53" s="13"/>
      <c r="L53" s="33">
        <f t="shared" si="3"/>
        <v>214.3903085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0.0" customHeight="1">
      <c r="A54" s="41">
        <v>48.0</v>
      </c>
      <c r="B54" s="13" t="s">
        <v>127</v>
      </c>
      <c r="C54" s="13"/>
      <c r="D54" s="30" t="s">
        <v>94</v>
      </c>
      <c r="E54" s="14">
        <v>45420.0</v>
      </c>
      <c r="F54" s="14"/>
      <c r="G54" s="53">
        <v>40.333377799999994</v>
      </c>
      <c r="H54" s="32"/>
      <c r="I54" s="33">
        <f t="shared" si="1"/>
        <v>0.3347670357</v>
      </c>
      <c r="J54" s="33">
        <f t="shared" si="2"/>
        <v>40.66814484</v>
      </c>
      <c r="K54" s="13"/>
      <c r="L54" s="33">
        <f t="shared" si="3"/>
        <v>40.66814484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0.0" customHeight="1">
      <c r="A55" s="41">
        <v>49.0</v>
      </c>
      <c r="B55" s="13" t="s">
        <v>128</v>
      </c>
      <c r="C55" s="13"/>
      <c r="D55" s="30" t="s">
        <v>94</v>
      </c>
      <c r="E55" s="14">
        <v>45414.0</v>
      </c>
      <c r="F55" s="14"/>
      <c r="G55" s="53">
        <v>30.2496889</v>
      </c>
      <c r="H55" s="38">
        <v>10.0</v>
      </c>
      <c r="I55" s="33">
        <f t="shared" si="1"/>
        <v>0.2510724179</v>
      </c>
      <c r="J55" s="33">
        <f t="shared" si="2"/>
        <v>40.50076132</v>
      </c>
      <c r="K55" s="13"/>
      <c r="L55" s="33">
        <f t="shared" si="3"/>
        <v>40.50076132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0.0" customHeight="1">
      <c r="A56" s="41">
        <v>50.0</v>
      </c>
      <c r="B56" s="13" t="s">
        <v>129</v>
      </c>
      <c r="C56" s="13"/>
      <c r="D56" s="30" t="s">
        <v>94</v>
      </c>
      <c r="E56" s="14">
        <v>45453.0</v>
      </c>
      <c r="F56" s="14" t="s">
        <v>101</v>
      </c>
      <c r="G56" s="53">
        <v>251.24844450000003</v>
      </c>
      <c r="H56" s="38">
        <v>320.0</v>
      </c>
      <c r="I56" s="33">
        <f t="shared" si="1"/>
        <v>2.085362089</v>
      </c>
      <c r="J56" s="33">
        <f t="shared" si="2"/>
        <v>573.3338066</v>
      </c>
      <c r="K56" s="13"/>
      <c r="L56" s="33">
        <f t="shared" si="3"/>
        <v>573.3338066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0.0" customHeight="1">
      <c r="A57" s="41">
        <v>50.0</v>
      </c>
      <c r="B57" s="13" t="s">
        <v>132</v>
      </c>
      <c r="C57" s="13"/>
      <c r="D57" s="30" t="s">
        <v>94</v>
      </c>
      <c r="E57" s="14">
        <v>45420.0</v>
      </c>
      <c r="F57" s="14"/>
      <c r="G57" s="53">
        <v>15.0415</v>
      </c>
      <c r="H57" s="32"/>
      <c r="I57" s="33">
        <f t="shared" si="1"/>
        <v>0.12484445</v>
      </c>
      <c r="J57" s="33">
        <f t="shared" si="2"/>
        <v>15.16634445</v>
      </c>
      <c r="K57" s="13"/>
      <c r="L57" s="33">
        <f t="shared" si="3"/>
        <v>15.16634445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30.0" customHeight="1">
      <c r="A58" s="41">
        <v>51.0</v>
      </c>
      <c r="B58" s="13" t="s">
        <v>133</v>
      </c>
      <c r="C58" s="13"/>
      <c r="D58" s="30" t="s">
        <v>94</v>
      </c>
      <c r="E58" s="58">
        <v>45453.0</v>
      </c>
      <c r="F58" s="14"/>
      <c r="G58" s="53">
        <v>50.166</v>
      </c>
      <c r="H58" s="57">
        <v>30.0</v>
      </c>
      <c r="I58" s="33">
        <f t="shared" si="1"/>
        <v>0.4163778</v>
      </c>
      <c r="J58" s="33">
        <f t="shared" si="2"/>
        <v>80.5823778</v>
      </c>
      <c r="K58" s="13"/>
      <c r="L58" s="33">
        <f t="shared" si="3"/>
        <v>80.5823778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30.0" customHeight="1">
      <c r="A59" s="41">
        <v>52.0</v>
      </c>
      <c r="B59" s="30" t="s">
        <v>134</v>
      </c>
      <c r="C59" s="13"/>
      <c r="D59" s="30" t="s">
        <v>94</v>
      </c>
      <c r="E59" s="14">
        <v>45390.0</v>
      </c>
      <c r="F59" s="14" t="s">
        <v>131</v>
      </c>
      <c r="G59" s="53">
        <v>20.083</v>
      </c>
      <c r="H59" s="32"/>
      <c r="I59" s="33">
        <f t="shared" si="1"/>
        <v>0.1666889</v>
      </c>
      <c r="J59" s="33">
        <f t="shared" si="2"/>
        <v>20.2496889</v>
      </c>
      <c r="K59" s="13"/>
      <c r="L59" s="33">
        <f t="shared" si="3"/>
        <v>20.2496889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0.0" customHeight="1">
      <c r="A60" s="41">
        <v>53.0</v>
      </c>
      <c r="B60" s="13" t="s">
        <v>135</v>
      </c>
      <c r="C60" s="13"/>
      <c r="D60" s="30" t="s">
        <v>94</v>
      </c>
      <c r="E60" s="14">
        <v>45390.0</v>
      </c>
      <c r="F60" s="14" t="s">
        <v>131</v>
      </c>
      <c r="G60" s="53">
        <v>20.083</v>
      </c>
      <c r="H60" s="32"/>
      <c r="I60" s="33">
        <f t="shared" si="1"/>
        <v>0.1666889</v>
      </c>
      <c r="J60" s="33">
        <f t="shared" si="2"/>
        <v>20.2496889</v>
      </c>
      <c r="K60" s="13"/>
      <c r="L60" s="33">
        <f t="shared" si="3"/>
        <v>20.2496889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30.0" customHeight="1">
      <c r="A61" s="41">
        <v>54.0</v>
      </c>
      <c r="B61" s="13" t="s">
        <v>136</v>
      </c>
      <c r="C61" s="13"/>
      <c r="D61" s="30" t="s">
        <v>94</v>
      </c>
      <c r="E61" s="14">
        <v>45390.0</v>
      </c>
      <c r="F61" s="14" t="s">
        <v>131</v>
      </c>
      <c r="G61" s="53">
        <v>20.083</v>
      </c>
      <c r="H61" s="32"/>
      <c r="I61" s="33">
        <f t="shared" si="1"/>
        <v>0.1666889</v>
      </c>
      <c r="J61" s="33">
        <f t="shared" si="2"/>
        <v>20.2496889</v>
      </c>
      <c r="K61" s="13"/>
      <c r="L61" s="33">
        <f t="shared" si="3"/>
        <v>20.2496889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0.0" customHeight="1">
      <c r="A62" s="41">
        <v>55.0</v>
      </c>
      <c r="B62" s="13" t="s">
        <v>138</v>
      </c>
      <c r="C62" s="13"/>
      <c r="D62" s="30" t="s">
        <v>94</v>
      </c>
      <c r="E62" s="14">
        <v>45420.0</v>
      </c>
      <c r="F62" s="14"/>
      <c r="G62" s="53">
        <v>10.0</v>
      </c>
      <c r="H62" s="32"/>
      <c r="I62" s="33">
        <f t="shared" si="1"/>
        <v>0.083</v>
      </c>
      <c r="J62" s="33">
        <f t="shared" si="2"/>
        <v>10.083</v>
      </c>
      <c r="K62" s="13"/>
      <c r="L62" s="33">
        <f t="shared" si="3"/>
        <v>10.083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30.0" customHeight="1">
      <c r="A63" s="41"/>
      <c r="B63" s="13"/>
      <c r="C63" s="13"/>
      <c r="D63" s="30"/>
      <c r="E63" s="14"/>
      <c r="F63" s="14"/>
      <c r="G63" s="53"/>
      <c r="H63" s="32"/>
      <c r="I63" s="16"/>
      <c r="J63" s="33"/>
      <c r="K63" s="13"/>
      <c r="L63" s="3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30.0" customHeight="1">
      <c r="A64" s="41"/>
      <c r="B64" s="13"/>
      <c r="C64" s="13"/>
      <c r="D64" s="30"/>
      <c r="E64" s="14"/>
      <c r="F64" s="14"/>
      <c r="G64" s="53"/>
      <c r="H64" s="32"/>
      <c r="I64" s="16"/>
      <c r="J64" s="33"/>
      <c r="K64" s="13"/>
      <c r="L64" s="3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30.0" customHeight="1">
      <c r="A65" s="41"/>
      <c r="B65" s="13"/>
      <c r="C65" s="13"/>
      <c r="D65" s="30"/>
      <c r="E65" s="14"/>
      <c r="F65" s="14"/>
      <c r="G65" s="53"/>
      <c r="H65" s="32"/>
      <c r="I65" s="16"/>
      <c r="J65" s="33"/>
      <c r="K65" s="13"/>
      <c r="L65" s="3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30.0" customHeight="1">
      <c r="A66" s="41"/>
      <c r="B66" s="13"/>
      <c r="C66" s="13"/>
      <c r="D66" s="30"/>
      <c r="E66" s="14"/>
      <c r="F66" s="14"/>
      <c r="G66" s="53"/>
      <c r="H66" s="32"/>
      <c r="I66" s="16"/>
      <c r="J66" s="33"/>
      <c r="K66" s="13"/>
      <c r="L66" s="3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30.0" customHeight="1">
      <c r="A67" s="41"/>
      <c r="B67" s="13"/>
      <c r="C67" s="13"/>
      <c r="D67" s="30"/>
      <c r="E67" s="14"/>
      <c r="F67" s="14"/>
      <c r="G67" s="53"/>
      <c r="H67" s="32"/>
      <c r="I67" s="16"/>
      <c r="J67" s="33"/>
      <c r="K67" s="13"/>
      <c r="L67" s="3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30.0" customHeight="1">
      <c r="A68" s="41"/>
      <c r="B68" s="13"/>
      <c r="C68" s="13"/>
      <c r="D68" s="30"/>
      <c r="E68" s="14"/>
      <c r="F68" s="14"/>
      <c r="G68" s="53"/>
      <c r="H68" s="32"/>
      <c r="I68" s="16"/>
      <c r="J68" s="33"/>
      <c r="K68" s="13"/>
      <c r="L68" s="3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0" customHeight="1">
      <c r="A69" s="17"/>
      <c r="B69" s="13"/>
      <c r="C69" s="13"/>
      <c r="D69" s="13"/>
      <c r="E69" s="13"/>
      <c r="F69" s="13"/>
      <c r="G69" s="55">
        <f>SUM(G7:G59)</f>
        <v>48214.68733</v>
      </c>
      <c r="H69" s="18">
        <f>SUM(H7:H68)</f>
        <v>1088.88</v>
      </c>
      <c r="I69" s="18">
        <f>SUM(I7:I57)</f>
        <v>399.5988382</v>
      </c>
      <c r="J69" s="18">
        <f>SUM(J7:J59)</f>
        <v>49703.74924</v>
      </c>
      <c r="K69" s="18">
        <f>SUM(K7:K55)</f>
        <v>0</v>
      </c>
      <c r="L69" s="18">
        <f>SUM(L7:L59)</f>
        <v>49703.74924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2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51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10.29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140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8" t="s">
        <v>79</v>
      </c>
      <c r="B7" s="9" t="s">
        <v>80</v>
      </c>
      <c r="C7" s="9" t="s">
        <v>81</v>
      </c>
      <c r="D7" s="9" t="s">
        <v>82</v>
      </c>
      <c r="E7" s="9" t="s">
        <v>83</v>
      </c>
      <c r="F7" s="9" t="s">
        <v>84</v>
      </c>
      <c r="G7" s="9" t="s">
        <v>85</v>
      </c>
      <c r="H7" s="9" t="s">
        <v>86</v>
      </c>
      <c r="I7" s="9" t="s">
        <v>87</v>
      </c>
      <c r="J7" s="9" t="s">
        <v>88</v>
      </c>
      <c r="K7" s="9" t="s">
        <v>89</v>
      </c>
      <c r="L7" s="9" t="s">
        <v>90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1.0</v>
      </c>
      <c r="B8" s="30" t="s">
        <v>131</v>
      </c>
      <c r="C8" s="30" t="s">
        <v>91</v>
      </c>
      <c r="D8" s="30" t="s">
        <v>92</v>
      </c>
      <c r="E8" s="31">
        <v>45422.0</v>
      </c>
      <c r="F8" s="31"/>
      <c r="G8" s="52">
        <v>4516.387851471888</v>
      </c>
      <c r="H8" s="32"/>
      <c r="I8" s="33">
        <f t="shared" ref="I8:I63" si="1">G8*0.83%</f>
        <v>37.48601917</v>
      </c>
      <c r="J8" s="33">
        <f t="shared" ref="J8:J63" si="2">G8+H8+I8</f>
        <v>4553.873871</v>
      </c>
      <c r="K8" s="30"/>
      <c r="L8" s="33">
        <f t="shared" ref="L8:L63" si="3">J8-K8</f>
        <v>4553.873871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2.0</v>
      </c>
      <c r="B9" s="30" t="s">
        <v>33</v>
      </c>
      <c r="C9" s="30" t="s">
        <v>91</v>
      </c>
      <c r="D9" s="30" t="s">
        <v>92</v>
      </c>
      <c r="E9" s="31">
        <v>45483.0</v>
      </c>
      <c r="F9" s="31"/>
      <c r="G9" s="52">
        <v>7165.72772749426</v>
      </c>
      <c r="H9" s="38">
        <v>100.0</v>
      </c>
      <c r="I9" s="33">
        <f t="shared" si="1"/>
        <v>59.47554014</v>
      </c>
      <c r="J9" s="33">
        <f t="shared" si="2"/>
        <v>7325.203268</v>
      </c>
      <c r="K9" s="30"/>
      <c r="L9" s="33">
        <f t="shared" si="3"/>
        <v>7325.203268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41">
        <v>3.0</v>
      </c>
      <c r="B10" s="30" t="s">
        <v>34</v>
      </c>
      <c r="C10" s="30" t="s">
        <v>91</v>
      </c>
      <c r="D10" s="30" t="s">
        <v>92</v>
      </c>
      <c r="E10" s="31">
        <v>45483.0</v>
      </c>
      <c r="F10" s="31"/>
      <c r="G10" s="52">
        <v>7304.511719658367</v>
      </c>
      <c r="H10" s="38">
        <v>50.0</v>
      </c>
      <c r="I10" s="33">
        <f t="shared" si="1"/>
        <v>60.62744727</v>
      </c>
      <c r="J10" s="33">
        <f t="shared" si="2"/>
        <v>7415.139167</v>
      </c>
      <c r="K10" s="30"/>
      <c r="L10" s="33">
        <f t="shared" si="3"/>
        <v>7415.139167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4.0</v>
      </c>
      <c r="B11" s="34" t="s">
        <v>35</v>
      </c>
      <c r="C11" s="34" t="s">
        <v>93</v>
      </c>
      <c r="D11" s="34" t="s">
        <v>92</v>
      </c>
      <c r="E11" s="35">
        <v>45171.0</v>
      </c>
      <c r="F11" s="35"/>
      <c r="G11" s="52">
        <v>3026.179478297279</v>
      </c>
      <c r="H11" s="32"/>
      <c r="I11" s="32">
        <f t="shared" si="1"/>
        <v>25.11728967</v>
      </c>
      <c r="J11" s="32">
        <f t="shared" si="2"/>
        <v>3051.296768</v>
      </c>
      <c r="K11" s="34"/>
      <c r="L11" s="32">
        <f t="shared" si="3"/>
        <v>3051.296768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5.0</v>
      </c>
      <c r="B12" s="34" t="s">
        <v>36</v>
      </c>
      <c r="C12" s="34" t="s">
        <v>91</v>
      </c>
      <c r="D12" s="34" t="s">
        <v>92</v>
      </c>
      <c r="E12" s="35">
        <v>45239.0</v>
      </c>
      <c r="F12" s="35"/>
      <c r="G12" s="52">
        <v>484.9601535583544</v>
      </c>
      <c r="H12" s="32"/>
      <c r="I12" s="32">
        <f t="shared" si="1"/>
        <v>4.025169275</v>
      </c>
      <c r="J12" s="32">
        <f t="shared" si="2"/>
        <v>488.9853228</v>
      </c>
      <c r="K12" s="34"/>
      <c r="L12" s="32">
        <f t="shared" si="3"/>
        <v>488.9853228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6.0</v>
      </c>
      <c r="B13" s="34" t="s">
        <v>47</v>
      </c>
      <c r="C13" s="34" t="s">
        <v>91</v>
      </c>
      <c r="D13" s="34" t="s">
        <v>92</v>
      </c>
      <c r="E13" s="35">
        <v>45383.0</v>
      </c>
      <c r="F13" s="35"/>
      <c r="G13" s="52">
        <v>2648.2834084784613</v>
      </c>
      <c r="H13" s="38">
        <v>25.0</v>
      </c>
      <c r="I13" s="32">
        <f t="shared" si="1"/>
        <v>21.98075229</v>
      </c>
      <c r="J13" s="32">
        <f t="shared" si="2"/>
        <v>2695.264161</v>
      </c>
      <c r="K13" s="34"/>
      <c r="L13" s="32">
        <f t="shared" si="3"/>
        <v>2695.264161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41">
        <v>7.0</v>
      </c>
      <c r="B14" s="30" t="s">
        <v>38</v>
      </c>
      <c r="C14" s="30" t="s">
        <v>91</v>
      </c>
      <c r="D14" s="30" t="s">
        <v>92</v>
      </c>
      <c r="E14" s="31">
        <v>45422.0</v>
      </c>
      <c r="F14" s="31"/>
      <c r="G14" s="52">
        <v>7034.25836212609</v>
      </c>
      <c r="H14" s="38">
        <v>67.2</v>
      </c>
      <c r="I14" s="33">
        <f t="shared" si="1"/>
        <v>58.38434441</v>
      </c>
      <c r="J14" s="33">
        <f t="shared" si="2"/>
        <v>7159.842707</v>
      </c>
      <c r="K14" s="30"/>
      <c r="L14" s="33">
        <f t="shared" si="3"/>
        <v>7159.842707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41">
        <v>8.0</v>
      </c>
      <c r="B15" s="30" t="s">
        <v>48</v>
      </c>
      <c r="C15" s="30" t="s">
        <v>91</v>
      </c>
      <c r="D15" s="30" t="s">
        <v>92</v>
      </c>
      <c r="E15" s="31">
        <v>45481.0</v>
      </c>
      <c r="F15" s="31"/>
      <c r="G15" s="52">
        <v>6695.476644032644</v>
      </c>
      <c r="H15" s="38">
        <v>100.0</v>
      </c>
      <c r="I15" s="33">
        <f t="shared" si="1"/>
        <v>55.57245615</v>
      </c>
      <c r="J15" s="33">
        <f t="shared" si="2"/>
        <v>6851.0491</v>
      </c>
      <c r="K15" s="30"/>
      <c r="L15" s="33">
        <f t="shared" si="3"/>
        <v>6851.0491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9.0</v>
      </c>
      <c r="B16" s="30" t="s">
        <v>49</v>
      </c>
      <c r="C16" s="30" t="s">
        <v>91</v>
      </c>
      <c r="D16" s="30" t="s">
        <v>94</v>
      </c>
      <c r="E16" s="31">
        <v>45418.0</v>
      </c>
      <c r="F16" s="31" t="s">
        <v>38</v>
      </c>
      <c r="G16" s="52">
        <v>111.1355602298828</v>
      </c>
      <c r="H16" s="38">
        <v>10.0</v>
      </c>
      <c r="I16" s="33">
        <f t="shared" si="1"/>
        <v>0.9224251499</v>
      </c>
      <c r="J16" s="33">
        <f t="shared" si="2"/>
        <v>122.0579854</v>
      </c>
      <c r="K16" s="30"/>
      <c r="L16" s="33">
        <f t="shared" si="3"/>
        <v>122.0579854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10.0</v>
      </c>
      <c r="B17" s="30" t="s">
        <v>58</v>
      </c>
      <c r="C17" s="30" t="s">
        <v>93</v>
      </c>
      <c r="D17" s="30" t="s">
        <v>94</v>
      </c>
      <c r="E17" s="31">
        <v>45383.0</v>
      </c>
      <c r="F17" s="31" t="s">
        <v>39</v>
      </c>
      <c r="G17" s="52">
        <v>288.50055123597593</v>
      </c>
      <c r="H17" s="38">
        <v>10.0</v>
      </c>
      <c r="I17" s="33">
        <f t="shared" si="1"/>
        <v>2.394554575</v>
      </c>
      <c r="J17" s="33">
        <f t="shared" si="2"/>
        <v>300.8951058</v>
      </c>
      <c r="K17" s="30"/>
      <c r="L17" s="33">
        <f t="shared" si="3"/>
        <v>300.8951058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11.0</v>
      </c>
      <c r="B18" s="30" t="s">
        <v>51</v>
      </c>
      <c r="C18" s="30" t="s">
        <v>91</v>
      </c>
      <c r="D18" s="30" t="s">
        <v>94</v>
      </c>
      <c r="E18" s="31">
        <v>45294.0</v>
      </c>
      <c r="F18" s="31" t="s">
        <v>34</v>
      </c>
      <c r="G18" s="52">
        <v>97.79993130925301</v>
      </c>
      <c r="H18" s="32"/>
      <c r="I18" s="33">
        <f t="shared" si="1"/>
        <v>0.8117394299</v>
      </c>
      <c r="J18" s="33">
        <f t="shared" si="2"/>
        <v>98.61167074</v>
      </c>
      <c r="K18" s="30"/>
      <c r="L18" s="33">
        <f t="shared" si="3"/>
        <v>98.61167074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12.0</v>
      </c>
      <c r="B19" s="30" t="s">
        <v>52</v>
      </c>
      <c r="C19" s="30" t="s">
        <v>91</v>
      </c>
      <c r="D19" s="30" t="s">
        <v>94</v>
      </c>
      <c r="E19" s="31">
        <v>45029.0</v>
      </c>
      <c r="F19" s="31" t="s">
        <v>38</v>
      </c>
      <c r="G19" s="52">
        <v>85.1368394144773</v>
      </c>
      <c r="H19" s="32"/>
      <c r="I19" s="33">
        <f t="shared" si="1"/>
        <v>0.7066357671</v>
      </c>
      <c r="J19" s="33">
        <f t="shared" si="2"/>
        <v>85.84347518</v>
      </c>
      <c r="K19" s="30"/>
      <c r="L19" s="33">
        <f t="shared" si="3"/>
        <v>85.84347518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41">
        <v>13.0</v>
      </c>
      <c r="B20" s="30" t="s">
        <v>72</v>
      </c>
      <c r="C20" s="30" t="s">
        <v>91</v>
      </c>
      <c r="D20" s="30" t="s">
        <v>94</v>
      </c>
      <c r="E20" s="31">
        <v>45387.0</v>
      </c>
      <c r="F20" s="31" t="s">
        <v>38</v>
      </c>
      <c r="G20" s="52">
        <v>213.47916451788092</v>
      </c>
      <c r="H20" s="38">
        <v>20.0</v>
      </c>
      <c r="I20" s="33">
        <f t="shared" si="1"/>
        <v>1.771877065</v>
      </c>
      <c r="J20" s="33">
        <f t="shared" si="2"/>
        <v>235.2510416</v>
      </c>
      <c r="K20" s="30"/>
      <c r="L20" s="33">
        <f t="shared" si="3"/>
        <v>235.2510416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41">
        <v>14.0</v>
      </c>
      <c r="B21" s="34" t="s">
        <v>54</v>
      </c>
      <c r="C21" s="34" t="s">
        <v>91</v>
      </c>
      <c r="D21" s="30" t="s">
        <v>94</v>
      </c>
      <c r="E21" s="35">
        <v>45475.0</v>
      </c>
      <c r="F21" s="35" t="s">
        <v>34</v>
      </c>
      <c r="G21" s="52">
        <v>1385.0091416230664</v>
      </c>
      <c r="H21" s="38">
        <v>100.0</v>
      </c>
      <c r="I21" s="32">
        <f t="shared" si="1"/>
        <v>11.49557588</v>
      </c>
      <c r="J21" s="32">
        <f t="shared" si="2"/>
        <v>1496.504717</v>
      </c>
      <c r="K21" s="34"/>
      <c r="L21" s="32">
        <f t="shared" si="3"/>
        <v>1496.504717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15.0</v>
      </c>
      <c r="B22" s="30" t="s">
        <v>55</v>
      </c>
      <c r="C22" s="30" t="s">
        <v>91</v>
      </c>
      <c r="D22" s="30" t="s">
        <v>94</v>
      </c>
      <c r="E22" s="31">
        <v>45386.0</v>
      </c>
      <c r="F22" s="31" t="s">
        <v>33</v>
      </c>
      <c r="G22" s="52">
        <v>160.35584417131372</v>
      </c>
      <c r="H22" s="38">
        <v>20.0</v>
      </c>
      <c r="I22" s="33">
        <f t="shared" si="1"/>
        <v>1.330953507</v>
      </c>
      <c r="J22" s="33">
        <f t="shared" si="2"/>
        <v>181.6867977</v>
      </c>
      <c r="K22" s="30"/>
      <c r="L22" s="33">
        <f t="shared" si="3"/>
        <v>181.6867977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16.0</v>
      </c>
      <c r="B23" s="30" t="s">
        <v>40</v>
      </c>
      <c r="C23" s="30" t="s">
        <v>91</v>
      </c>
      <c r="D23" s="30" t="s">
        <v>94</v>
      </c>
      <c r="E23" s="31">
        <v>45415.0</v>
      </c>
      <c r="F23" s="31" t="s">
        <v>38</v>
      </c>
      <c r="G23" s="52">
        <v>1371.4554406881978</v>
      </c>
      <c r="H23" s="38">
        <v>400.0</v>
      </c>
      <c r="I23" s="33">
        <f t="shared" si="1"/>
        <v>11.38308016</v>
      </c>
      <c r="J23" s="33">
        <f t="shared" si="2"/>
        <v>1782.838521</v>
      </c>
      <c r="K23" s="30"/>
      <c r="L23" s="33">
        <f t="shared" si="3"/>
        <v>1782.838521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17.0</v>
      </c>
      <c r="B24" s="34" t="s">
        <v>41</v>
      </c>
      <c r="C24" s="34" t="s">
        <v>91</v>
      </c>
      <c r="D24" s="30" t="s">
        <v>94</v>
      </c>
      <c r="E24" s="35">
        <v>45414.0</v>
      </c>
      <c r="F24" s="35" t="s">
        <v>34</v>
      </c>
      <c r="G24" s="52">
        <v>249.48626454253417</v>
      </c>
      <c r="H24" s="56">
        <v>20.0</v>
      </c>
      <c r="I24" s="32">
        <f t="shared" si="1"/>
        <v>2.070735996</v>
      </c>
      <c r="J24" s="32">
        <f t="shared" si="2"/>
        <v>271.5570005</v>
      </c>
      <c r="K24" s="34"/>
      <c r="L24" s="32">
        <f t="shared" si="3"/>
        <v>271.5570005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18.0</v>
      </c>
      <c r="B25" s="30" t="s">
        <v>95</v>
      </c>
      <c r="C25" s="30" t="s">
        <v>93</v>
      </c>
      <c r="D25" s="30" t="s">
        <v>94</v>
      </c>
      <c r="E25" s="31">
        <v>45427.0</v>
      </c>
      <c r="F25" s="31" t="s">
        <v>39</v>
      </c>
      <c r="G25" s="52">
        <v>593.153474818886</v>
      </c>
      <c r="H25" s="56">
        <v>10.0</v>
      </c>
      <c r="I25" s="33">
        <f t="shared" si="1"/>
        <v>4.923173841</v>
      </c>
      <c r="J25" s="33">
        <f t="shared" si="2"/>
        <v>608.0766487</v>
      </c>
      <c r="K25" s="30"/>
      <c r="L25" s="33">
        <f t="shared" si="3"/>
        <v>608.0766487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41">
        <v>19.0</v>
      </c>
      <c r="B26" s="30" t="s">
        <v>96</v>
      </c>
      <c r="C26" s="30" t="s">
        <v>91</v>
      </c>
      <c r="D26" s="30" t="s">
        <v>94</v>
      </c>
      <c r="E26" s="31">
        <v>45388.0</v>
      </c>
      <c r="F26" s="31" t="s">
        <v>33</v>
      </c>
      <c r="G26" s="52">
        <v>226.026124203773</v>
      </c>
      <c r="H26" s="39"/>
      <c r="I26" s="33">
        <f t="shared" si="1"/>
        <v>1.876016831</v>
      </c>
      <c r="J26" s="33">
        <f t="shared" si="2"/>
        <v>227.902141</v>
      </c>
      <c r="K26" s="30"/>
      <c r="L26" s="33">
        <f t="shared" si="3"/>
        <v>227.902141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20.0</v>
      </c>
      <c r="B27" s="34" t="s">
        <v>97</v>
      </c>
      <c r="C27" s="30" t="s">
        <v>93</v>
      </c>
      <c r="D27" s="30" t="s">
        <v>94</v>
      </c>
      <c r="E27" s="31">
        <v>45386.0</v>
      </c>
      <c r="F27" s="31" t="s">
        <v>34</v>
      </c>
      <c r="G27" s="52">
        <v>79.7564926273339</v>
      </c>
      <c r="H27" s="39"/>
      <c r="I27" s="33">
        <f t="shared" si="1"/>
        <v>0.6619788888</v>
      </c>
      <c r="J27" s="33">
        <f t="shared" si="2"/>
        <v>80.41847152</v>
      </c>
      <c r="K27" s="30"/>
      <c r="L27" s="33">
        <f t="shared" si="3"/>
        <v>80.41847152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21.0</v>
      </c>
      <c r="B28" s="34" t="s">
        <v>98</v>
      </c>
      <c r="C28" s="34" t="s">
        <v>93</v>
      </c>
      <c r="D28" s="30" t="s">
        <v>94</v>
      </c>
      <c r="E28" s="35">
        <v>45140.0</v>
      </c>
      <c r="F28" s="35" t="s">
        <v>38</v>
      </c>
      <c r="G28" s="52">
        <v>117.07145766183959</v>
      </c>
      <c r="H28" s="39"/>
      <c r="I28" s="32">
        <f t="shared" si="1"/>
        <v>0.9716930986</v>
      </c>
      <c r="J28" s="32">
        <f t="shared" si="2"/>
        <v>118.0431508</v>
      </c>
      <c r="K28" s="34"/>
      <c r="L28" s="32">
        <f t="shared" si="3"/>
        <v>118.0431508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22.0</v>
      </c>
      <c r="B29" s="30" t="s">
        <v>61</v>
      </c>
      <c r="C29" s="30" t="s">
        <v>91</v>
      </c>
      <c r="D29" s="30" t="s">
        <v>94</v>
      </c>
      <c r="E29" s="31">
        <v>45235.0</v>
      </c>
      <c r="F29" s="31" t="s">
        <v>38</v>
      </c>
      <c r="G29" s="52">
        <v>137.8315410888433</v>
      </c>
      <c r="H29" s="39"/>
      <c r="I29" s="33">
        <f t="shared" si="1"/>
        <v>1.144001791</v>
      </c>
      <c r="J29" s="33">
        <f t="shared" si="2"/>
        <v>138.9755429</v>
      </c>
      <c r="K29" s="30"/>
      <c r="L29" s="33">
        <f t="shared" si="3"/>
        <v>138.9755429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23.0</v>
      </c>
      <c r="B30" s="30" t="s">
        <v>63</v>
      </c>
      <c r="C30" s="30" t="s">
        <v>91</v>
      </c>
      <c r="D30" s="30" t="s">
        <v>94</v>
      </c>
      <c r="E30" s="31">
        <v>45422.0</v>
      </c>
      <c r="F30" s="31" t="s">
        <v>39</v>
      </c>
      <c r="G30" s="52">
        <v>993.6288254180621</v>
      </c>
      <c r="H30" s="39"/>
      <c r="I30" s="33">
        <f t="shared" si="1"/>
        <v>8.247119251</v>
      </c>
      <c r="J30" s="33">
        <f t="shared" si="2"/>
        <v>1001.875945</v>
      </c>
      <c r="K30" s="30"/>
      <c r="L30" s="33">
        <f t="shared" si="3"/>
        <v>1001.875945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24.0</v>
      </c>
      <c r="B31" s="34" t="s">
        <v>64</v>
      </c>
      <c r="C31" s="30" t="s">
        <v>91</v>
      </c>
      <c r="D31" s="30" t="s">
        <v>94</v>
      </c>
      <c r="E31" s="31">
        <v>45420.0</v>
      </c>
      <c r="F31" s="31" t="s">
        <v>40</v>
      </c>
      <c r="G31" s="52">
        <v>649.8049955681743</v>
      </c>
      <c r="H31" s="39"/>
      <c r="I31" s="33">
        <f t="shared" si="1"/>
        <v>5.393381463</v>
      </c>
      <c r="J31" s="33">
        <f t="shared" si="2"/>
        <v>655.198377</v>
      </c>
      <c r="K31" s="30"/>
      <c r="L31" s="33">
        <f t="shared" si="3"/>
        <v>655.198377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25.0</v>
      </c>
      <c r="B32" s="30" t="s">
        <v>65</v>
      </c>
      <c r="C32" s="30" t="s">
        <v>91</v>
      </c>
      <c r="D32" s="30" t="s">
        <v>94</v>
      </c>
      <c r="E32" s="31">
        <v>45383.0</v>
      </c>
      <c r="F32" s="31" t="s">
        <v>39</v>
      </c>
      <c r="G32" s="52">
        <v>42.6865692301324</v>
      </c>
      <c r="H32" s="39"/>
      <c r="I32" s="33">
        <f t="shared" si="1"/>
        <v>0.3542985246</v>
      </c>
      <c r="J32" s="33">
        <f t="shared" si="2"/>
        <v>43.04086775</v>
      </c>
      <c r="K32" s="30"/>
      <c r="L32" s="33">
        <f t="shared" si="3"/>
        <v>43.04086775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26.0</v>
      </c>
      <c r="B33" s="30" t="s">
        <v>66</v>
      </c>
      <c r="C33" s="30" t="s">
        <v>91</v>
      </c>
      <c r="D33" s="30" t="s">
        <v>94</v>
      </c>
      <c r="E33" s="31">
        <v>45209.0</v>
      </c>
      <c r="F33" s="31" t="s">
        <v>33</v>
      </c>
      <c r="G33" s="52">
        <v>65.45405010325216</v>
      </c>
      <c r="H33" s="39"/>
      <c r="I33" s="33">
        <f t="shared" si="1"/>
        <v>0.5432686159</v>
      </c>
      <c r="J33" s="33">
        <f t="shared" si="2"/>
        <v>65.99731872</v>
      </c>
      <c r="K33" s="30"/>
      <c r="L33" s="33">
        <f t="shared" si="3"/>
        <v>65.99731872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27.0</v>
      </c>
      <c r="B34" s="30" t="s">
        <v>99</v>
      </c>
      <c r="C34" s="30" t="s">
        <v>91</v>
      </c>
      <c r="D34" s="30" t="s">
        <v>94</v>
      </c>
      <c r="E34" s="31">
        <v>45085.0</v>
      </c>
      <c r="F34" s="31" t="s">
        <v>38</v>
      </c>
      <c r="G34" s="52">
        <v>219.03697586598128</v>
      </c>
      <c r="H34" s="39"/>
      <c r="I34" s="33">
        <f t="shared" si="1"/>
        <v>1.8180069</v>
      </c>
      <c r="J34" s="33">
        <f t="shared" si="2"/>
        <v>220.8549828</v>
      </c>
      <c r="K34" s="30"/>
      <c r="L34" s="33">
        <f t="shared" si="3"/>
        <v>220.8549828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28.0</v>
      </c>
      <c r="B35" s="30" t="s">
        <v>100</v>
      </c>
      <c r="C35" s="30" t="s">
        <v>93</v>
      </c>
      <c r="D35" s="30" t="s">
        <v>94</v>
      </c>
      <c r="E35" s="31">
        <v>45427.0</v>
      </c>
      <c r="F35" s="31" t="s">
        <v>39</v>
      </c>
      <c r="G35" s="52">
        <v>67.2505811240453</v>
      </c>
      <c r="H35" s="32"/>
      <c r="I35" s="33">
        <f t="shared" si="1"/>
        <v>0.5581798233</v>
      </c>
      <c r="J35" s="33">
        <f t="shared" si="2"/>
        <v>67.80876095</v>
      </c>
      <c r="K35" s="30"/>
      <c r="L35" s="33">
        <f t="shared" si="3"/>
        <v>67.80876095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29.0</v>
      </c>
      <c r="B36" s="30" t="s">
        <v>101</v>
      </c>
      <c r="C36" s="30" t="s">
        <v>93</v>
      </c>
      <c r="D36" s="30" t="s">
        <v>94</v>
      </c>
      <c r="E36" s="31">
        <v>45235.0</v>
      </c>
      <c r="F36" s="31"/>
      <c r="G36" s="52">
        <v>1060.8896799091963</v>
      </c>
      <c r="H36" s="32"/>
      <c r="I36" s="33">
        <f t="shared" si="1"/>
        <v>8.805384343</v>
      </c>
      <c r="J36" s="33">
        <f t="shared" si="2"/>
        <v>1069.695064</v>
      </c>
      <c r="K36" s="30"/>
      <c r="L36" s="33">
        <f t="shared" si="3"/>
        <v>1069.695064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0.0" customHeight="1">
      <c r="A37" s="41">
        <v>30.0</v>
      </c>
      <c r="B37" s="30" t="s">
        <v>102</v>
      </c>
      <c r="C37" s="30"/>
      <c r="D37" s="30" t="s">
        <v>94</v>
      </c>
      <c r="E37" s="31">
        <v>45235.0</v>
      </c>
      <c r="F37" s="31"/>
      <c r="G37" s="52">
        <v>15.938201998581802</v>
      </c>
      <c r="H37" s="32"/>
      <c r="I37" s="33">
        <f t="shared" si="1"/>
        <v>0.1322870766</v>
      </c>
      <c r="J37" s="33">
        <f t="shared" si="2"/>
        <v>16.07048908</v>
      </c>
      <c r="K37" s="30"/>
      <c r="L37" s="33">
        <f t="shared" si="3"/>
        <v>16.07048908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31.0</v>
      </c>
      <c r="B38" s="30" t="s">
        <v>104</v>
      </c>
      <c r="C38" s="30"/>
      <c r="D38" s="30" t="s">
        <v>94</v>
      </c>
      <c r="E38" s="31">
        <v>45416.0</v>
      </c>
      <c r="F38" s="31"/>
      <c r="G38" s="52">
        <v>109.1932824700565</v>
      </c>
      <c r="H38" s="38">
        <v>15.0</v>
      </c>
      <c r="I38" s="33">
        <f t="shared" si="1"/>
        <v>0.9063042445</v>
      </c>
      <c r="J38" s="33">
        <f t="shared" si="2"/>
        <v>125.0995867</v>
      </c>
      <c r="K38" s="30"/>
      <c r="L38" s="33">
        <f t="shared" si="3"/>
        <v>125.0995867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32.0</v>
      </c>
      <c r="B39" s="30" t="s">
        <v>105</v>
      </c>
      <c r="C39" s="30"/>
      <c r="D39" s="30" t="s">
        <v>94</v>
      </c>
      <c r="E39" s="31">
        <v>45420.0</v>
      </c>
      <c r="F39" s="31"/>
      <c r="G39" s="52">
        <v>236.48079163215104</v>
      </c>
      <c r="H39" s="38">
        <v>5.0</v>
      </c>
      <c r="I39" s="33">
        <f t="shared" si="1"/>
        <v>1.962790571</v>
      </c>
      <c r="J39" s="33">
        <f t="shared" si="2"/>
        <v>243.4435822</v>
      </c>
      <c r="K39" s="30"/>
      <c r="L39" s="33">
        <f t="shared" si="3"/>
        <v>243.4435822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0.0" customHeight="1">
      <c r="A40" s="41">
        <v>33.0</v>
      </c>
      <c r="B40" s="30" t="s">
        <v>106</v>
      </c>
      <c r="C40" s="30"/>
      <c r="D40" s="30" t="s">
        <v>94</v>
      </c>
      <c r="E40" s="31">
        <v>45414.0</v>
      </c>
      <c r="F40" s="31"/>
      <c r="G40" s="52">
        <v>83.04659406457432</v>
      </c>
      <c r="H40" s="38">
        <v>15.0</v>
      </c>
      <c r="I40" s="33">
        <f t="shared" si="1"/>
        <v>0.6892867307</v>
      </c>
      <c r="J40" s="33">
        <f t="shared" si="2"/>
        <v>98.7358808</v>
      </c>
      <c r="K40" s="30"/>
      <c r="L40" s="33">
        <f t="shared" si="3"/>
        <v>98.7358808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0.0" customHeight="1">
      <c r="A41" s="41">
        <v>34.0</v>
      </c>
      <c r="B41" s="30" t="s">
        <v>107</v>
      </c>
      <c r="C41" s="30"/>
      <c r="D41" s="30" t="s">
        <v>94</v>
      </c>
      <c r="E41" s="31">
        <v>45414.0</v>
      </c>
      <c r="F41" s="31"/>
      <c r="G41" s="52">
        <v>206.76202758275863</v>
      </c>
      <c r="H41" s="32"/>
      <c r="I41" s="33">
        <f t="shared" si="1"/>
        <v>1.716124829</v>
      </c>
      <c r="J41" s="33">
        <f t="shared" si="2"/>
        <v>208.4781524</v>
      </c>
      <c r="K41" s="30"/>
      <c r="L41" s="33">
        <f t="shared" si="3"/>
        <v>208.4781524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0.0" customHeight="1">
      <c r="A42" s="41">
        <v>35.0</v>
      </c>
      <c r="B42" s="30" t="s">
        <v>108</v>
      </c>
      <c r="C42" s="30"/>
      <c r="D42" s="30" t="s">
        <v>94</v>
      </c>
      <c r="E42" s="31">
        <v>45330.0</v>
      </c>
      <c r="F42" s="31"/>
      <c r="G42" s="52">
        <v>57.54583274670433</v>
      </c>
      <c r="H42" s="32"/>
      <c r="I42" s="33">
        <f t="shared" si="1"/>
        <v>0.4776304118</v>
      </c>
      <c r="J42" s="33">
        <f t="shared" si="2"/>
        <v>58.02346316</v>
      </c>
      <c r="K42" s="30"/>
      <c r="L42" s="33">
        <f t="shared" si="3"/>
        <v>58.02346316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0.0" customHeight="1">
      <c r="A43" s="41">
        <v>36.0</v>
      </c>
      <c r="B43" s="30" t="s">
        <v>109</v>
      </c>
      <c r="C43" s="30"/>
      <c r="D43" s="30" t="s">
        <v>94</v>
      </c>
      <c r="E43" s="31">
        <v>45333.0</v>
      </c>
      <c r="F43" s="31"/>
      <c r="G43" s="52">
        <v>166.61565428463084</v>
      </c>
      <c r="H43" s="32"/>
      <c r="I43" s="33">
        <f t="shared" si="1"/>
        <v>1.382909931</v>
      </c>
      <c r="J43" s="33">
        <f t="shared" si="2"/>
        <v>167.9985642</v>
      </c>
      <c r="K43" s="30"/>
      <c r="L43" s="33">
        <f t="shared" si="3"/>
        <v>167.9985642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0.0" customHeight="1">
      <c r="A44" s="41">
        <v>37.0</v>
      </c>
      <c r="B44" s="30" t="s">
        <v>110</v>
      </c>
      <c r="C44" s="30"/>
      <c r="D44" s="30" t="s">
        <v>94</v>
      </c>
      <c r="E44" s="31">
        <v>45418.0</v>
      </c>
      <c r="F44" s="31"/>
      <c r="G44" s="52">
        <v>167.77905931391078</v>
      </c>
      <c r="H44" s="32"/>
      <c r="I44" s="33">
        <f t="shared" si="1"/>
        <v>1.392566192</v>
      </c>
      <c r="J44" s="33">
        <f t="shared" si="2"/>
        <v>169.1716255</v>
      </c>
      <c r="K44" s="30"/>
      <c r="L44" s="33">
        <f t="shared" si="3"/>
        <v>169.1716255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0.0" customHeight="1">
      <c r="A45" s="41">
        <v>38.0</v>
      </c>
      <c r="B45" s="30" t="s">
        <v>111</v>
      </c>
      <c r="C45" s="30"/>
      <c r="D45" s="30" t="s">
        <v>94</v>
      </c>
      <c r="E45" s="31">
        <v>45333.0</v>
      </c>
      <c r="F45" s="31"/>
      <c r="G45" s="52">
        <v>53.08001338395197</v>
      </c>
      <c r="H45" s="32"/>
      <c r="I45" s="33">
        <f t="shared" si="1"/>
        <v>0.4405641111</v>
      </c>
      <c r="J45" s="33">
        <f t="shared" si="2"/>
        <v>53.5205775</v>
      </c>
      <c r="K45" s="30"/>
      <c r="L45" s="33">
        <f t="shared" si="3"/>
        <v>53.5205775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0.0" customHeight="1">
      <c r="A46" s="41">
        <v>39.0</v>
      </c>
      <c r="B46" s="30" t="s">
        <v>112</v>
      </c>
      <c r="C46" s="30"/>
      <c r="D46" s="30" t="s">
        <v>94</v>
      </c>
      <c r="E46" s="31">
        <v>45245.0</v>
      </c>
      <c r="F46" s="31"/>
      <c r="G46" s="52">
        <v>21.27928143973899</v>
      </c>
      <c r="H46" s="32"/>
      <c r="I46" s="33">
        <f t="shared" si="1"/>
        <v>0.1766180359</v>
      </c>
      <c r="J46" s="33">
        <f t="shared" si="2"/>
        <v>21.45589948</v>
      </c>
      <c r="K46" s="30"/>
      <c r="L46" s="33">
        <f t="shared" si="3"/>
        <v>21.45589948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0.0" customHeight="1">
      <c r="A47" s="41">
        <v>40.0</v>
      </c>
      <c r="B47" s="30" t="s">
        <v>116</v>
      </c>
      <c r="C47" s="30"/>
      <c r="D47" s="30" t="s">
        <v>94</v>
      </c>
      <c r="E47" s="31">
        <v>45293.0</v>
      </c>
      <c r="F47" s="31"/>
      <c r="G47" s="52">
        <v>10.42194641638551</v>
      </c>
      <c r="H47" s="32"/>
      <c r="I47" s="33">
        <f t="shared" si="1"/>
        <v>0.08650215526</v>
      </c>
      <c r="J47" s="33">
        <f t="shared" si="2"/>
        <v>10.50844857</v>
      </c>
      <c r="K47" s="30"/>
      <c r="L47" s="33">
        <f t="shared" si="3"/>
        <v>10.50844857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0.0" customHeight="1">
      <c r="A48" s="41">
        <v>41.0</v>
      </c>
      <c r="B48" s="30" t="s">
        <v>117</v>
      </c>
      <c r="C48" s="30"/>
      <c r="D48" s="30" t="s">
        <v>94</v>
      </c>
      <c r="E48" s="31">
        <v>45414.0</v>
      </c>
      <c r="F48" s="31"/>
      <c r="G48" s="52">
        <v>306.2943202659692</v>
      </c>
      <c r="H48" s="32"/>
      <c r="I48" s="33">
        <f t="shared" si="1"/>
        <v>2.542242858</v>
      </c>
      <c r="J48" s="33">
        <f t="shared" si="2"/>
        <v>308.8365631</v>
      </c>
      <c r="K48" s="30"/>
      <c r="L48" s="33">
        <f t="shared" si="3"/>
        <v>308.8365631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0.0" customHeight="1">
      <c r="A49" s="41">
        <v>42.0</v>
      </c>
      <c r="B49" s="30" t="s">
        <v>118</v>
      </c>
      <c r="C49" s="30"/>
      <c r="D49" s="30" t="s">
        <v>94</v>
      </c>
      <c r="E49" s="31">
        <v>45303.0</v>
      </c>
      <c r="F49" s="31"/>
      <c r="G49" s="52">
        <v>20.84389283277102</v>
      </c>
      <c r="H49" s="32"/>
      <c r="I49" s="33">
        <f t="shared" si="1"/>
        <v>0.1730043105</v>
      </c>
      <c r="J49" s="33">
        <f t="shared" si="2"/>
        <v>21.01689714</v>
      </c>
      <c r="K49" s="30"/>
      <c r="L49" s="33">
        <f t="shared" si="3"/>
        <v>21.01689714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0.0" customHeight="1">
      <c r="A50" s="41">
        <v>43.0</v>
      </c>
      <c r="B50" s="30" t="s">
        <v>120</v>
      </c>
      <c r="C50" s="30"/>
      <c r="D50" s="30" t="s">
        <v>94</v>
      </c>
      <c r="E50" s="31">
        <v>45419.0</v>
      </c>
      <c r="F50" s="31"/>
      <c r="G50" s="32">
        <v>50.836917636808316</v>
      </c>
      <c r="H50" s="38">
        <v>10.0</v>
      </c>
      <c r="I50" s="33">
        <f t="shared" si="1"/>
        <v>0.4219464164</v>
      </c>
      <c r="J50" s="33">
        <f t="shared" si="2"/>
        <v>61.25886405</v>
      </c>
      <c r="K50" s="30"/>
      <c r="L50" s="33">
        <f t="shared" si="3"/>
        <v>61.25886405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0.0" customHeight="1">
      <c r="A51" s="41">
        <v>44.0</v>
      </c>
      <c r="B51" s="30" t="s">
        <v>121</v>
      </c>
      <c r="C51" s="30"/>
      <c r="D51" s="30" t="s">
        <v>94</v>
      </c>
      <c r="E51" s="31">
        <v>45324.0</v>
      </c>
      <c r="F51" s="31"/>
      <c r="G51" s="52">
        <v>10.336156318938322</v>
      </c>
      <c r="H51" s="32"/>
      <c r="I51" s="33">
        <f t="shared" si="1"/>
        <v>0.08579009745</v>
      </c>
      <c r="J51" s="33">
        <f t="shared" si="2"/>
        <v>10.42194642</v>
      </c>
      <c r="K51" s="30"/>
      <c r="L51" s="33">
        <f t="shared" si="3"/>
        <v>10.42194642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0.0" customHeight="1">
      <c r="A52" s="41">
        <v>45.0</v>
      </c>
      <c r="B52" s="30" t="s">
        <v>124</v>
      </c>
      <c r="C52" s="30"/>
      <c r="D52" s="30" t="s">
        <v>94</v>
      </c>
      <c r="E52" s="31">
        <v>45332.0</v>
      </c>
      <c r="F52" s="31"/>
      <c r="G52" s="52">
        <v>10.336156318938322</v>
      </c>
      <c r="H52" s="38">
        <v>10.0</v>
      </c>
      <c r="I52" s="33">
        <f t="shared" si="1"/>
        <v>0.08579009745</v>
      </c>
      <c r="J52" s="33">
        <f t="shared" si="2"/>
        <v>20.42194642</v>
      </c>
      <c r="K52" s="30"/>
      <c r="L52" s="33">
        <f t="shared" si="3"/>
        <v>20.42194642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0.0" customHeight="1">
      <c r="A53" s="41">
        <v>46.0</v>
      </c>
      <c r="B53" s="13" t="s">
        <v>125</v>
      </c>
      <c r="C53" s="13"/>
      <c r="D53" s="30" t="s">
        <v>94</v>
      </c>
      <c r="E53" s="14">
        <v>45423.0</v>
      </c>
      <c r="F53" s="14"/>
      <c r="G53" s="53">
        <v>101.33282801787</v>
      </c>
      <c r="H53" s="32"/>
      <c r="I53" s="33">
        <f t="shared" si="1"/>
        <v>0.8410624725</v>
      </c>
      <c r="J53" s="33">
        <f t="shared" si="2"/>
        <v>102.1738905</v>
      </c>
      <c r="K53" s="13"/>
      <c r="L53" s="33">
        <f t="shared" si="3"/>
        <v>102.1738905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0.0" customHeight="1">
      <c r="A54" s="41">
        <v>47.0</v>
      </c>
      <c r="B54" s="54" t="s">
        <v>126</v>
      </c>
      <c r="C54" s="13"/>
      <c r="D54" s="30" t="s">
        <v>94</v>
      </c>
      <c r="E54" s="14">
        <v>45420.0</v>
      </c>
      <c r="F54" s="14"/>
      <c r="G54" s="53">
        <v>214.39030851805</v>
      </c>
      <c r="H54" s="38">
        <v>10.0</v>
      </c>
      <c r="I54" s="33">
        <f t="shared" si="1"/>
        <v>1.779439561</v>
      </c>
      <c r="J54" s="33">
        <f t="shared" si="2"/>
        <v>226.1697481</v>
      </c>
      <c r="K54" s="13"/>
      <c r="L54" s="33">
        <f t="shared" si="3"/>
        <v>226.1697481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0.0" customHeight="1">
      <c r="A55" s="41">
        <v>48.0</v>
      </c>
      <c r="B55" s="13" t="s">
        <v>127</v>
      </c>
      <c r="C55" s="13"/>
      <c r="D55" s="30" t="s">
        <v>94</v>
      </c>
      <c r="E55" s="14">
        <v>45420.0</v>
      </c>
      <c r="F55" s="14"/>
      <c r="G55" s="53">
        <v>40.668144835739994</v>
      </c>
      <c r="H55" s="32"/>
      <c r="I55" s="33">
        <f t="shared" si="1"/>
        <v>0.3375456021</v>
      </c>
      <c r="J55" s="33">
        <f t="shared" si="2"/>
        <v>41.00569044</v>
      </c>
      <c r="K55" s="13"/>
      <c r="L55" s="33">
        <f t="shared" si="3"/>
        <v>41.00569044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0.0" customHeight="1">
      <c r="A56" s="41">
        <v>49.0</v>
      </c>
      <c r="B56" s="13" t="s">
        <v>128</v>
      </c>
      <c r="C56" s="13"/>
      <c r="D56" s="30" t="s">
        <v>94</v>
      </c>
      <c r="E56" s="14">
        <v>45414.0</v>
      </c>
      <c r="F56" s="14"/>
      <c r="G56" s="53">
        <v>40.500761317869994</v>
      </c>
      <c r="H56" s="38">
        <v>10.0</v>
      </c>
      <c r="I56" s="33">
        <f t="shared" si="1"/>
        <v>0.3361563189</v>
      </c>
      <c r="J56" s="33">
        <f t="shared" si="2"/>
        <v>50.83691764</v>
      </c>
      <c r="K56" s="13"/>
      <c r="L56" s="33">
        <f t="shared" si="3"/>
        <v>50.83691764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0.0" customHeight="1">
      <c r="A57" s="41">
        <v>50.0</v>
      </c>
      <c r="B57" s="13" t="s">
        <v>129</v>
      </c>
      <c r="C57" s="13"/>
      <c r="D57" s="30" t="s">
        <v>94</v>
      </c>
      <c r="E57" s="14">
        <v>45483.0</v>
      </c>
      <c r="F57" s="14" t="s">
        <v>101</v>
      </c>
      <c r="G57" s="53">
        <v>573.33380658935</v>
      </c>
      <c r="H57" s="38">
        <v>446.66</v>
      </c>
      <c r="I57" s="33">
        <f t="shared" si="1"/>
        <v>4.758670595</v>
      </c>
      <c r="J57" s="33">
        <f t="shared" si="2"/>
        <v>1024.752477</v>
      </c>
      <c r="K57" s="13"/>
      <c r="L57" s="33">
        <f t="shared" si="3"/>
        <v>1024.752477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30.0" customHeight="1">
      <c r="A58" s="41">
        <v>50.0</v>
      </c>
      <c r="B58" s="13" t="s">
        <v>132</v>
      </c>
      <c r="C58" s="13"/>
      <c r="D58" s="30" t="s">
        <v>94</v>
      </c>
      <c r="E58" s="14">
        <v>45420.0</v>
      </c>
      <c r="F58" s="14"/>
      <c r="G58" s="53">
        <v>15.166344449999999</v>
      </c>
      <c r="H58" s="32"/>
      <c r="I58" s="33">
        <f t="shared" si="1"/>
        <v>0.1258806589</v>
      </c>
      <c r="J58" s="33">
        <f t="shared" si="2"/>
        <v>15.29222511</v>
      </c>
      <c r="K58" s="13"/>
      <c r="L58" s="33">
        <f t="shared" si="3"/>
        <v>15.29222511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30.0" customHeight="1">
      <c r="A59" s="41">
        <v>51.0</v>
      </c>
      <c r="B59" s="13" t="s">
        <v>133</v>
      </c>
      <c r="C59" s="13"/>
      <c r="D59" s="30" t="s">
        <v>94</v>
      </c>
      <c r="E59" s="58">
        <v>45475.0</v>
      </c>
      <c r="F59" s="14"/>
      <c r="G59" s="59">
        <v>80.5823778</v>
      </c>
      <c r="H59" s="38">
        <v>30.0</v>
      </c>
      <c r="I59" s="33">
        <f t="shared" si="1"/>
        <v>0.6688337357</v>
      </c>
      <c r="J59" s="33">
        <f t="shared" si="2"/>
        <v>111.2512115</v>
      </c>
      <c r="K59" s="13"/>
      <c r="L59" s="33">
        <f t="shared" si="3"/>
        <v>111.2512115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0.0" customHeight="1">
      <c r="A60" s="41">
        <v>52.0</v>
      </c>
      <c r="B60" s="30" t="s">
        <v>134</v>
      </c>
      <c r="C60" s="13"/>
      <c r="D60" s="30" t="s">
        <v>94</v>
      </c>
      <c r="E60" s="14">
        <v>45390.0</v>
      </c>
      <c r="F60" s="14" t="s">
        <v>131</v>
      </c>
      <c r="G60" s="53">
        <v>20.2496889</v>
      </c>
      <c r="H60" s="32"/>
      <c r="I60" s="33">
        <f t="shared" si="1"/>
        <v>0.1680724179</v>
      </c>
      <c r="J60" s="33">
        <f t="shared" si="2"/>
        <v>20.41776132</v>
      </c>
      <c r="K60" s="13"/>
      <c r="L60" s="33">
        <f t="shared" si="3"/>
        <v>20.41776132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30.0" customHeight="1">
      <c r="A61" s="41">
        <v>53.0</v>
      </c>
      <c r="B61" s="13" t="s">
        <v>135</v>
      </c>
      <c r="C61" s="13"/>
      <c r="D61" s="30" t="s">
        <v>94</v>
      </c>
      <c r="E61" s="14">
        <v>45390.0</v>
      </c>
      <c r="F61" s="14" t="s">
        <v>131</v>
      </c>
      <c r="G61" s="53">
        <v>20.2496889</v>
      </c>
      <c r="H61" s="38">
        <v>20.0</v>
      </c>
      <c r="I61" s="33">
        <f t="shared" si="1"/>
        <v>0.1680724179</v>
      </c>
      <c r="J61" s="33">
        <f t="shared" si="2"/>
        <v>40.41776132</v>
      </c>
      <c r="K61" s="13"/>
      <c r="L61" s="33">
        <f t="shared" si="3"/>
        <v>40.41776132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0.0" customHeight="1">
      <c r="A62" s="41">
        <v>54.0</v>
      </c>
      <c r="B62" s="13" t="s">
        <v>136</v>
      </c>
      <c r="C62" s="13"/>
      <c r="D62" s="30" t="s">
        <v>94</v>
      </c>
      <c r="E62" s="14">
        <v>45390.0</v>
      </c>
      <c r="F62" s="14" t="s">
        <v>131</v>
      </c>
      <c r="G62" s="53">
        <v>20.2496889</v>
      </c>
      <c r="H62" s="32"/>
      <c r="I62" s="33">
        <f t="shared" si="1"/>
        <v>0.1680724179</v>
      </c>
      <c r="J62" s="33">
        <f t="shared" si="2"/>
        <v>20.41776132</v>
      </c>
      <c r="K62" s="13"/>
      <c r="L62" s="33">
        <f t="shared" si="3"/>
        <v>20.41776132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30.0" customHeight="1">
      <c r="A63" s="41">
        <v>55.0</v>
      </c>
      <c r="B63" s="13" t="s">
        <v>138</v>
      </c>
      <c r="C63" s="13"/>
      <c r="D63" s="30" t="s">
        <v>94</v>
      </c>
      <c r="E63" s="14">
        <v>45420.0</v>
      </c>
      <c r="F63" s="14"/>
      <c r="G63" s="53">
        <v>10.083</v>
      </c>
      <c r="H63" s="32"/>
      <c r="I63" s="33">
        <f t="shared" si="1"/>
        <v>0.0836889</v>
      </c>
      <c r="J63" s="33">
        <f t="shared" si="2"/>
        <v>10.1666889</v>
      </c>
      <c r="K63" s="13"/>
      <c r="L63" s="33">
        <f t="shared" si="3"/>
        <v>10.1666889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30.0" customHeight="1">
      <c r="A64" s="41"/>
      <c r="B64" s="13"/>
      <c r="C64" s="13"/>
      <c r="D64" s="30"/>
      <c r="E64" s="14"/>
      <c r="F64" s="14"/>
      <c r="G64" s="53"/>
      <c r="H64" s="32"/>
      <c r="I64" s="16"/>
      <c r="J64" s="33"/>
      <c r="K64" s="13"/>
      <c r="L64" s="3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30.0" customHeight="1">
      <c r="A65" s="41"/>
      <c r="B65" s="13"/>
      <c r="C65" s="13"/>
      <c r="D65" s="30"/>
      <c r="E65" s="14"/>
      <c r="F65" s="14"/>
      <c r="G65" s="53"/>
      <c r="H65" s="32"/>
      <c r="I65" s="16"/>
      <c r="J65" s="33"/>
      <c r="K65" s="13"/>
      <c r="L65" s="3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30.0" customHeight="1">
      <c r="A66" s="41"/>
      <c r="B66" s="13"/>
      <c r="C66" s="13"/>
      <c r="D66" s="30"/>
      <c r="E66" s="14"/>
      <c r="F66" s="14"/>
      <c r="G66" s="53"/>
      <c r="H66" s="32"/>
      <c r="I66" s="16"/>
      <c r="J66" s="33"/>
      <c r="K66" s="13"/>
      <c r="L66" s="3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30.0" customHeight="1">
      <c r="A67" s="41"/>
      <c r="B67" s="13"/>
      <c r="C67" s="13"/>
      <c r="D67" s="30"/>
      <c r="E67" s="14"/>
      <c r="F67" s="14"/>
      <c r="G67" s="53"/>
      <c r="H67" s="32"/>
      <c r="I67" s="16"/>
      <c r="J67" s="33"/>
      <c r="K67" s="13"/>
      <c r="L67" s="3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30.0" customHeight="1">
      <c r="A68" s="41"/>
      <c r="B68" s="13"/>
      <c r="C68" s="13"/>
      <c r="D68" s="30"/>
      <c r="E68" s="14"/>
      <c r="F68" s="14"/>
      <c r="G68" s="53"/>
      <c r="H68" s="32"/>
      <c r="I68" s="16"/>
      <c r="J68" s="33"/>
      <c r="K68" s="13"/>
      <c r="L68" s="3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0" customHeight="1">
      <c r="A69" s="17"/>
      <c r="B69" s="13"/>
      <c r="C69" s="13"/>
      <c r="D69" s="13"/>
      <c r="E69" s="13"/>
      <c r="F69" s="13"/>
      <c r="G69" s="55">
        <f>SUM(G7:G59)</f>
        <v>49683.49955</v>
      </c>
      <c r="H69" s="18">
        <f>SUM(H7:H68)</f>
        <v>1503.86</v>
      </c>
      <c r="I69" s="18">
        <f>SUM(I7:I57)</f>
        <v>411.5783319</v>
      </c>
      <c r="J69" s="18">
        <f>SUM(J7:J59)</f>
        <v>51579.7326</v>
      </c>
      <c r="K69" s="18">
        <f>SUM(K7:K55)</f>
        <v>0</v>
      </c>
      <c r="L69" s="18">
        <f>SUM(L7:L59)</f>
        <v>51579.7326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2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51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10.29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141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45422.0</v>
      </c>
      <c r="F7" s="31"/>
      <c r="G7" s="33">
        <v>4553.873870639105</v>
      </c>
      <c r="H7" s="32"/>
      <c r="I7" s="33">
        <f t="shared" ref="I7:I63" si="1">G7*0.83%</f>
        <v>37.79715313</v>
      </c>
      <c r="J7" s="33">
        <f t="shared" ref="J7:J63" si="2">G7+H7+I7</f>
        <v>4591.671024</v>
      </c>
      <c r="K7" s="30"/>
      <c r="L7" s="33">
        <f t="shared" ref="L7:L62" si="3">J7-K7</f>
        <v>4591.671024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45514.0</v>
      </c>
      <c r="F8" s="31"/>
      <c r="G8" s="33">
        <v>7325.2032676324625</v>
      </c>
      <c r="H8" s="38">
        <v>200.0</v>
      </c>
      <c r="I8" s="33">
        <f t="shared" si="1"/>
        <v>60.79918712</v>
      </c>
      <c r="J8" s="33">
        <f t="shared" si="2"/>
        <v>7586.002455</v>
      </c>
      <c r="K8" s="30"/>
      <c r="L8" s="33">
        <f t="shared" si="3"/>
        <v>7586.002455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45423.0</v>
      </c>
      <c r="F9" s="31"/>
      <c r="G9" s="33">
        <v>7415.13916693153</v>
      </c>
      <c r="H9" s="32"/>
      <c r="I9" s="33">
        <f t="shared" si="1"/>
        <v>61.54565509</v>
      </c>
      <c r="J9" s="33">
        <f t="shared" si="2"/>
        <v>7476.684822</v>
      </c>
      <c r="K9" s="30"/>
      <c r="L9" s="33">
        <f t="shared" si="3"/>
        <v>7476.684822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32">
        <v>3051.296767967146</v>
      </c>
      <c r="H10" s="32"/>
      <c r="I10" s="32">
        <f t="shared" si="1"/>
        <v>25.32576317</v>
      </c>
      <c r="J10" s="32">
        <f t="shared" si="2"/>
        <v>3076.622531</v>
      </c>
      <c r="K10" s="34"/>
      <c r="L10" s="32">
        <f t="shared" si="3"/>
        <v>3076.622531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45239.0</v>
      </c>
      <c r="F11" s="35"/>
      <c r="G11" s="32">
        <v>488.985322832889</v>
      </c>
      <c r="H11" s="32"/>
      <c r="I11" s="32">
        <f t="shared" si="1"/>
        <v>4.05857818</v>
      </c>
      <c r="J11" s="32">
        <f t="shared" si="2"/>
        <v>493.043901</v>
      </c>
      <c r="K11" s="34"/>
      <c r="L11" s="32">
        <f t="shared" si="3"/>
        <v>493.043901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45383.0</v>
      </c>
      <c r="F12" s="35"/>
      <c r="G12" s="32">
        <v>235.614160768832</v>
      </c>
      <c r="H12" s="38">
        <v>25.0</v>
      </c>
      <c r="I12" s="32">
        <f t="shared" si="1"/>
        <v>1.955597534</v>
      </c>
      <c r="J12" s="32">
        <f t="shared" si="2"/>
        <v>262.5697583</v>
      </c>
      <c r="K12" s="34"/>
      <c r="L12" s="32">
        <f t="shared" si="3"/>
        <v>262.5697583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45422.0</v>
      </c>
      <c r="F13" s="31"/>
      <c r="G13" s="33">
        <v>7159.842706531736</v>
      </c>
      <c r="H13" s="38">
        <v>20.52</v>
      </c>
      <c r="I13" s="33">
        <f t="shared" si="1"/>
        <v>59.42669446</v>
      </c>
      <c r="J13" s="33">
        <f t="shared" si="2"/>
        <v>7239.789401</v>
      </c>
      <c r="K13" s="30"/>
      <c r="L13" s="33">
        <f t="shared" si="3"/>
        <v>7239.789401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45511.0</v>
      </c>
      <c r="F14" s="31"/>
      <c r="G14" s="33">
        <v>6851.049100178115</v>
      </c>
      <c r="H14" s="38">
        <v>100.0</v>
      </c>
      <c r="I14" s="33">
        <f t="shared" si="1"/>
        <v>56.86370753</v>
      </c>
      <c r="J14" s="33">
        <f t="shared" si="2"/>
        <v>7007.912808</v>
      </c>
      <c r="K14" s="30"/>
      <c r="L14" s="33">
        <f t="shared" si="3"/>
        <v>7007.912808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41">
        <v>9.0</v>
      </c>
      <c r="B15" s="30" t="s">
        <v>49</v>
      </c>
      <c r="C15" s="30" t="s">
        <v>91</v>
      </c>
      <c r="D15" s="30" t="s">
        <v>94</v>
      </c>
      <c r="E15" s="31">
        <v>45418.0</v>
      </c>
      <c r="F15" s="31" t="s">
        <v>38</v>
      </c>
      <c r="G15" s="33">
        <v>122.05798537979082</v>
      </c>
      <c r="H15" s="38">
        <v>10.0</v>
      </c>
      <c r="I15" s="33">
        <f t="shared" si="1"/>
        <v>1.013081279</v>
      </c>
      <c r="J15" s="33">
        <f t="shared" si="2"/>
        <v>133.0710667</v>
      </c>
      <c r="K15" s="30"/>
      <c r="L15" s="33">
        <f t="shared" si="3"/>
        <v>133.0710667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10.0</v>
      </c>
      <c r="B16" s="30" t="s">
        <v>58</v>
      </c>
      <c r="C16" s="30" t="s">
        <v>93</v>
      </c>
      <c r="D16" s="30" t="s">
        <v>94</v>
      </c>
      <c r="E16" s="31">
        <v>45383.0</v>
      </c>
      <c r="F16" s="31" t="s">
        <v>39</v>
      </c>
      <c r="G16" s="33">
        <v>300.89510581123454</v>
      </c>
      <c r="H16" s="38">
        <v>20.0</v>
      </c>
      <c r="I16" s="33">
        <f t="shared" si="1"/>
        <v>2.497429378</v>
      </c>
      <c r="J16" s="33">
        <f t="shared" si="2"/>
        <v>323.3925352</v>
      </c>
      <c r="K16" s="30"/>
      <c r="L16" s="33">
        <f t="shared" si="3"/>
        <v>323.3925352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11.0</v>
      </c>
      <c r="B17" s="30" t="s">
        <v>51</v>
      </c>
      <c r="C17" s="30" t="s">
        <v>91</v>
      </c>
      <c r="D17" s="30" t="s">
        <v>94</v>
      </c>
      <c r="E17" s="31">
        <v>45294.0</v>
      </c>
      <c r="F17" s="31" t="s">
        <v>34</v>
      </c>
      <c r="G17" s="33">
        <v>98.61167073911982</v>
      </c>
      <c r="H17" s="32"/>
      <c r="I17" s="33">
        <f t="shared" si="1"/>
        <v>0.8184768671</v>
      </c>
      <c r="J17" s="33">
        <f t="shared" si="2"/>
        <v>99.43014761</v>
      </c>
      <c r="K17" s="30"/>
      <c r="L17" s="33">
        <f t="shared" si="3"/>
        <v>99.43014761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33">
        <v>85.84347518161745</v>
      </c>
      <c r="H18" s="32"/>
      <c r="I18" s="33">
        <f t="shared" si="1"/>
        <v>0.712500844</v>
      </c>
      <c r="J18" s="33">
        <f t="shared" si="2"/>
        <v>86.55597603</v>
      </c>
      <c r="K18" s="30"/>
      <c r="L18" s="33">
        <f t="shared" si="3"/>
        <v>86.55597603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13.0</v>
      </c>
      <c r="B19" s="30" t="s">
        <v>72</v>
      </c>
      <c r="C19" s="30" t="s">
        <v>91</v>
      </c>
      <c r="D19" s="30" t="s">
        <v>94</v>
      </c>
      <c r="E19" s="31">
        <v>45387.0</v>
      </c>
      <c r="F19" s="31" t="s">
        <v>38</v>
      </c>
      <c r="G19" s="33">
        <v>235.25104158337933</v>
      </c>
      <c r="H19" s="32"/>
      <c r="I19" s="33">
        <f t="shared" si="1"/>
        <v>1.952583645</v>
      </c>
      <c r="J19" s="33">
        <f t="shared" si="2"/>
        <v>237.2036252</v>
      </c>
      <c r="K19" s="30"/>
      <c r="L19" s="33">
        <f t="shared" si="3"/>
        <v>237.2036252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41">
        <v>14.0</v>
      </c>
      <c r="B20" s="34" t="s">
        <v>54</v>
      </c>
      <c r="C20" s="34" t="s">
        <v>91</v>
      </c>
      <c r="D20" s="30" t="s">
        <v>94</v>
      </c>
      <c r="E20" s="35">
        <v>45506.0</v>
      </c>
      <c r="F20" s="35" t="s">
        <v>34</v>
      </c>
      <c r="G20" s="32">
        <v>1496.504717498538</v>
      </c>
      <c r="H20" s="38">
        <v>100.0</v>
      </c>
      <c r="I20" s="32">
        <f t="shared" si="1"/>
        <v>12.42098916</v>
      </c>
      <c r="J20" s="32">
        <f t="shared" si="2"/>
        <v>1608.925707</v>
      </c>
      <c r="K20" s="34"/>
      <c r="L20" s="32">
        <f t="shared" si="3"/>
        <v>1608.925707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41">
        <v>15.0</v>
      </c>
      <c r="B21" s="30" t="s">
        <v>55</v>
      </c>
      <c r="C21" s="30" t="s">
        <v>91</v>
      </c>
      <c r="D21" s="30" t="s">
        <v>94</v>
      </c>
      <c r="E21" s="31">
        <v>45386.0</v>
      </c>
      <c r="F21" s="31" t="s">
        <v>33</v>
      </c>
      <c r="G21" s="33">
        <v>181.68679767793563</v>
      </c>
      <c r="H21" s="32"/>
      <c r="I21" s="33">
        <f t="shared" si="1"/>
        <v>1.508000421</v>
      </c>
      <c r="J21" s="33">
        <f t="shared" si="2"/>
        <v>183.1947981</v>
      </c>
      <c r="K21" s="30"/>
      <c r="L21" s="33">
        <f t="shared" si="3"/>
        <v>183.1947981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16.0</v>
      </c>
      <c r="B22" s="30" t="s">
        <v>40</v>
      </c>
      <c r="C22" s="30" t="s">
        <v>91</v>
      </c>
      <c r="D22" s="30" t="s">
        <v>94</v>
      </c>
      <c r="E22" s="31">
        <v>45415.0</v>
      </c>
      <c r="F22" s="31" t="s">
        <v>38</v>
      </c>
      <c r="G22" s="33">
        <v>1782.83852084591</v>
      </c>
      <c r="H22" s="32"/>
      <c r="I22" s="33">
        <f t="shared" si="1"/>
        <v>14.79755972</v>
      </c>
      <c r="J22" s="33">
        <f t="shared" si="2"/>
        <v>1797.636081</v>
      </c>
      <c r="K22" s="30"/>
      <c r="L22" s="33">
        <f t="shared" si="3"/>
        <v>1797.636081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17.0</v>
      </c>
      <c r="B23" s="34" t="s">
        <v>41</v>
      </c>
      <c r="C23" s="34" t="s">
        <v>91</v>
      </c>
      <c r="D23" s="30" t="s">
        <v>94</v>
      </c>
      <c r="E23" s="35">
        <v>45414.0</v>
      </c>
      <c r="F23" s="35" t="s">
        <v>34</v>
      </c>
      <c r="G23" s="32">
        <v>271.5570005382372</v>
      </c>
      <c r="H23" s="39"/>
      <c r="I23" s="32">
        <f t="shared" si="1"/>
        <v>2.253923104</v>
      </c>
      <c r="J23" s="32">
        <f t="shared" si="2"/>
        <v>273.8109236</v>
      </c>
      <c r="K23" s="34"/>
      <c r="L23" s="32">
        <f t="shared" si="3"/>
        <v>273.8109236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18.0</v>
      </c>
      <c r="B24" s="30" t="s">
        <v>95</v>
      </c>
      <c r="C24" s="30" t="s">
        <v>93</v>
      </c>
      <c r="D24" s="30" t="s">
        <v>94</v>
      </c>
      <c r="E24" s="31">
        <v>45427.0</v>
      </c>
      <c r="F24" s="31" t="s">
        <v>39</v>
      </c>
      <c r="G24" s="33">
        <v>608.0766486598828</v>
      </c>
      <c r="H24" s="56">
        <v>10.0</v>
      </c>
      <c r="I24" s="33">
        <f t="shared" si="1"/>
        <v>5.047036184</v>
      </c>
      <c r="J24" s="33">
        <f t="shared" si="2"/>
        <v>623.1236848</v>
      </c>
      <c r="K24" s="30"/>
      <c r="L24" s="33">
        <f t="shared" si="3"/>
        <v>623.1236848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19.0</v>
      </c>
      <c r="B25" s="30" t="s">
        <v>96</v>
      </c>
      <c r="C25" s="30" t="s">
        <v>91</v>
      </c>
      <c r="D25" s="30" t="s">
        <v>94</v>
      </c>
      <c r="E25" s="31">
        <v>45388.0</v>
      </c>
      <c r="F25" s="31" t="s">
        <v>33</v>
      </c>
      <c r="G25" s="33">
        <v>227.9021410346643</v>
      </c>
      <c r="H25" s="56">
        <v>10.0</v>
      </c>
      <c r="I25" s="33">
        <f t="shared" si="1"/>
        <v>1.891587771</v>
      </c>
      <c r="J25" s="33">
        <f t="shared" si="2"/>
        <v>239.7937288</v>
      </c>
      <c r="K25" s="30"/>
      <c r="L25" s="33">
        <f t="shared" si="3"/>
        <v>239.7937288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>
        <v>45386.0</v>
      </c>
      <c r="F26" s="31" t="s">
        <v>34</v>
      </c>
      <c r="G26" s="33">
        <v>80.41847151614077</v>
      </c>
      <c r="H26" s="39"/>
      <c r="I26" s="33">
        <f t="shared" si="1"/>
        <v>0.6674733136</v>
      </c>
      <c r="J26" s="33">
        <f t="shared" si="2"/>
        <v>81.08594483</v>
      </c>
      <c r="K26" s="30"/>
      <c r="L26" s="33">
        <f t="shared" si="3"/>
        <v>81.08594483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32">
        <v>118.04315076043285</v>
      </c>
      <c r="H27" s="39"/>
      <c r="I27" s="32">
        <f t="shared" si="1"/>
        <v>0.9797581513</v>
      </c>
      <c r="J27" s="32">
        <f t="shared" si="2"/>
        <v>119.0229089</v>
      </c>
      <c r="K27" s="34"/>
      <c r="L27" s="32">
        <f t="shared" si="3"/>
        <v>119.0229089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33">
        <v>138.9755428798807</v>
      </c>
      <c r="H28" s="39"/>
      <c r="I28" s="33">
        <f t="shared" si="1"/>
        <v>1.153497006</v>
      </c>
      <c r="J28" s="33">
        <f t="shared" si="2"/>
        <v>140.1290399</v>
      </c>
      <c r="K28" s="30"/>
      <c r="L28" s="33">
        <f t="shared" si="3"/>
        <v>140.1290399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45422.0</v>
      </c>
      <c r="F29" s="31" t="s">
        <v>39</v>
      </c>
      <c r="G29" s="33">
        <v>1001.875944669032</v>
      </c>
      <c r="H29" s="39"/>
      <c r="I29" s="33">
        <f t="shared" si="1"/>
        <v>8.315570341</v>
      </c>
      <c r="J29" s="33">
        <f t="shared" si="2"/>
        <v>1010.191515</v>
      </c>
      <c r="K29" s="30"/>
      <c r="L29" s="33">
        <f t="shared" si="3"/>
        <v>1010.191515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45420.0</v>
      </c>
      <c r="F30" s="31" t="s">
        <v>40</v>
      </c>
      <c r="G30" s="33">
        <v>655.1983770313901</v>
      </c>
      <c r="H30" s="39"/>
      <c r="I30" s="33">
        <f t="shared" si="1"/>
        <v>5.438146529</v>
      </c>
      <c r="J30" s="33">
        <f t="shared" si="2"/>
        <v>660.6365236</v>
      </c>
      <c r="K30" s="30"/>
      <c r="L30" s="33">
        <f t="shared" si="3"/>
        <v>660.6365236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45383.0</v>
      </c>
      <c r="F31" s="31" t="s">
        <v>39</v>
      </c>
      <c r="G31" s="33">
        <v>43.0408677547425</v>
      </c>
      <c r="H31" s="39"/>
      <c r="I31" s="33">
        <f t="shared" si="1"/>
        <v>0.3572392024</v>
      </c>
      <c r="J31" s="33">
        <f t="shared" si="2"/>
        <v>43.39810696</v>
      </c>
      <c r="K31" s="30"/>
      <c r="L31" s="33">
        <f t="shared" si="3"/>
        <v>43.39810696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33">
        <v>65.99731871910915</v>
      </c>
      <c r="H32" s="39"/>
      <c r="I32" s="33">
        <f t="shared" si="1"/>
        <v>0.5477777454</v>
      </c>
      <c r="J32" s="33">
        <f t="shared" si="2"/>
        <v>66.54509646</v>
      </c>
      <c r="K32" s="30"/>
      <c r="L32" s="33">
        <f t="shared" si="3"/>
        <v>66.54509646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33">
        <v>222.6845336816552</v>
      </c>
      <c r="H33" s="39"/>
      <c r="I33" s="33">
        <f t="shared" si="1"/>
        <v>1.84828163</v>
      </c>
      <c r="J33" s="33">
        <f t="shared" si="2"/>
        <v>224.5328153</v>
      </c>
      <c r="K33" s="30"/>
      <c r="L33" s="33">
        <f t="shared" si="3"/>
        <v>224.5328153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45427.0</v>
      </c>
      <c r="F34" s="31" t="s">
        <v>39</v>
      </c>
      <c r="G34" s="33">
        <v>67.80876094737488</v>
      </c>
      <c r="H34" s="32"/>
      <c r="I34" s="33">
        <f t="shared" si="1"/>
        <v>0.5628127159</v>
      </c>
      <c r="J34" s="33">
        <f t="shared" si="2"/>
        <v>68.37157366</v>
      </c>
      <c r="K34" s="30"/>
      <c r="L34" s="33">
        <f t="shared" si="3"/>
        <v>68.37157366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45235.0</v>
      </c>
      <c r="F35" s="31"/>
      <c r="G35" s="33">
        <v>1069.6950642524425</v>
      </c>
      <c r="H35" s="32"/>
      <c r="I35" s="33">
        <f t="shared" si="1"/>
        <v>8.878469033</v>
      </c>
      <c r="J35" s="33">
        <f t="shared" si="2"/>
        <v>1078.573533</v>
      </c>
      <c r="K35" s="30"/>
      <c r="L35" s="33">
        <f t="shared" si="3"/>
        <v>1078.573533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33">
        <v>16.07048907517003</v>
      </c>
      <c r="H36" s="32"/>
      <c r="I36" s="33">
        <f t="shared" si="1"/>
        <v>0.1333850593</v>
      </c>
      <c r="J36" s="33">
        <f t="shared" si="2"/>
        <v>16.20387413</v>
      </c>
      <c r="K36" s="30"/>
      <c r="L36" s="33">
        <f t="shared" si="3"/>
        <v>16.20387413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0.0" customHeight="1">
      <c r="A37" s="41">
        <v>31.0</v>
      </c>
      <c r="B37" s="30" t="s">
        <v>104</v>
      </c>
      <c r="C37" s="30"/>
      <c r="D37" s="30" t="s">
        <v>94</v>
      </c>
      <c r="E37" s="31">
        <v>45416.0</v>
      </c>
      <c r="F37" s="31"/>
      <c r="G37" s="33">
        <v>125.09958671455797</v>
      </c>
      <c r="H37" s="38">
        <v>15.0</v>
      </c>
      <c r="I37" s="33">
        <f t="shared" si="1"/>
        <v>1.03832657</v>
      </c>
      <c r="J37" s="33">
        <f t="shared" si="2"/>
        <v>141.1379133</v>
      </c>
      <c r="K37" s="30"/>
      <c r="L37" s="33">
        <f t="shared" si="3"/>
        <v>141.1379133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32.0</v>
      </c>
      <c r="B38" s="30" t="s">
        <v>105</v>
      </c>
      <c r="C38" s="30"/>
      <c r="D38" s="30" t="s">
        <v>94</v>
      </c>
      <c r="E38" s="31">
        <v>45420.0</v>
      </c>
      <c r="F38" s="31"/>
      <c r="G38" s="33">
        <v>243.44358220269788</v>
      </c>
      <c r="H38" s="38">
        <v>5.0</v>
      </c>
      <c r="I38" s="33">
        <f t="shared" si="1"/>
        <v>2.020581732</v>
      </c>
      <c r="J38" s="33">
        <f t="shared" si="2"/>
        <v>250.4641639</v>
      </c>
      <c r="K38" s="30"/>
      <c r="L38" s="33">
        <f t="shared" si="3"/>
        <v>250.4641639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33.0</v>
      </c>
      <c r="B39" s="30" t="s">
        <v>106</v>
      </c>
      <c r="C39" s="30"/>
      <c r="D39" s="30" t="s">
        <v>94</v>
      </c>
      <c r="E39" s="31">
        <v>45414.0</v>
      </c>
      <c r="F39" s="31"/>
      <c r="G39" s="33">
        <v>98.7358807953103</v>
      </c>
      <c r="H39" s="38">
        <v>10.0</v>
      </c>
      <c r="I39" s="33">
        <f t="shared" si="1"/>
        <v>0.8195078106</v>
      </c>
      <c r="J39" s="33">
        <f t="shared" si="2"/>
        <v>109.5553886</v>
      </c>
      <c r="K39" s="30"/>
      <c r="L39" s="33">
        <f t="shared" si="3"/>
        <v>109.5553886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0.0" customHeight="1">
      <c r="A40" s="41">
        <v>34.0</v>
      </c>
      <c r="B40" s="30" t="s">
        <v>107</v>
      </c>
      <c r="C40" s="30"/>
      <c r="D40" s="30" t="s">
        <v>94</v>
      </c>
      <c r="E40" s="31">
        <v>45414.0</v>
      </c>
      <c r="F40" s="31"/>
      <c r="G40" s="33">
        <v>208.47815241169553</v>
      </c>
      <c r="H40" s="32"/>
      <c r="I40" s="33">
        <f t="shared" si="1"/>
        <v>1.730368665</v>
      </c>
      <c r="J40" s="33">
        <f t="shared" si="2"/>
        <v>210.2085211</v>
      </c>
      <c r="K40" s="30"/>
      <c r="L40" s="33">
        <f t="shared" si="3"/>
        <v>210.2085211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0.0" customHeight="1">
      <c r="A41" s="41">
        <v>35.0</v>
      </c>
      <c r="B41" s="30" t="s">
        <v>108</v>
      </c>
      <c r="C41" s="30"/>
      <c r="D41" s="30" t="s">
        <v>94</v>
      </c>
      <c r="E41" s="31">
        <v>45330.0</v>
      </c>
      <c r="F41" s="31"/>
      <c r="G41" s="33">
        <v>58.023463158501976</v>
      </c>
      <c r="H41" s="32"/>
      <c r="I41" s="33">
        <f t="shared" si="1"/>
        <v>0.4815947442</v>
      </c>
      <c r="J41" s="33">
        <f t="shared" si="2"/>
        <v>58.5050579</v>
      </c>
      <c r="K41" s="30"/>
      <c r="L41" s="33">
        <f t="shared" si="3"/>
        <v>58.5050579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0.0" customHeight="1">
      <c r="A42" s="41">
        <v>36.0</v>
      </c>
      <c r="B42" s="30" t="s">
        <v>109</v>
      </c>
      <c r="C42" s="30"/>
      <c r="D42" s="30" t="s">
        <v>94</v>
      </c>
      <c r="E42" s="31">
        <v>45333.0</v>
      </c>
      <c r="F42" s="31"/>
      <c r="G42" s="33">
        <v>167.99856421519328</v>
      </c>
      <c r="H42" s="32"/>
      <c r="I42" s="33">
        <f t="shared" si="1"/>
        <v>1.394388083</v>
      </c>
      <c r="J42" s="33">
        <f t="shared" si="2"/>
        <v>169.3929523</v>
      </c>
      <c r="K42" s="30"/>
      <c r="L42" s="33">
        <f t="shared" si="3"/>
        <v>169.3929523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0.0" customHeight="1">
      <c r="A43" s="41">
        <v>37.0</v>
      </c>
      <c r="B43" s="30" t="s">
        <v>110</v>
      </c>
      <c r="C43" s="30"/>
      <c r="D43" s="30" t="s">
        <v>94</v>
      </c>
      <c r="E43" s="31">
        <v>45418.0</v>
      </c>
      <c r="F43" s="31"/>
      <c r="G43" s="33">
        <v>169.17162550621623</v>
      </c>
      <c r="H43" s="32"/>
      <c r="I43" s="33">
        <f t="shared" si="1"/>
        <v>1.404124492</v>
      </c>
      <c r="J43" s="33">
        <f t="shared" si="2"/>
        <v>170.57575</v>
      </c>
      <c r="K43" s="30"/>
      <c r="L43" s="33">
        <f t="shared" si="3"/>
        <v>170.57575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0.0" customHeight="1">
      <c r="A44" s="41">
        <v>38.0</v>
      </c>
      <c r="B44" s="30" t="s">
        <v>111</v>
      </c>
      <c r="C44" s="30"/>
      <c r="D44" s="30" t="s">
        <v>94</v>
      </c>
      <c r="E44" s="31">
        <v>45333.0</v>
      </c>
      <c r="F44" s="31"/>
      <c r="G44" s="33">
        <v>53.52057749503877</v>
      </c>
      <c r="H44" s="32"/>
      <c r="I44" s="33">
        <f t="shared" si="1"/>
        <v>0.4442207932</v>
      </c>
      <c r="J44" s="33">
        <f t="shared" si="2"/>
        <v>53.96479829</v>
      </c>
      <c r="K44" s="30"/>
      <c r="L44" s="33">
        <f t="shared" si="3"/>
        <v>53.96479829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0.0" customHeight="1">
      <c r="A45" s="41">
        <v>39.0</v>
      </c>
      <c r="B45" s="30" t="s">
        <v>112</v>
      </c>
      <c r="C45" s="30"/>
      <c r="D45" s="30" t="s">
        <v>94</v>
      </c>
      <c r="E45" s="31">
        <v>45245.0</v>
      </c>
      <c r="F45" s="31"/>
      <c r="G45" s="33">
        <v>21.455899475688824</v>
      </c>
      <c r="H45" s="32"/>
      <c r="I45" s="33">
        <f t="shared" si="1"/>
        <v>0.1780839656</v>
      </c>
      <c r="J45" s="33">
        <f t="shared" si="2"/>
        <v>21.63398344</v>
      </c>
      <c r="K45" s="30"/>
      <c r="L45" s="33">
        <f t="shared" si="3"/>
        <v>21.63398344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0.0" customHeight="1">
      <c r="A46" s="41">
        <v>40.0</v>
      </c>
      <c r="B46" s="30" t="s">
        <v>116</v>
      </c>
      <c r="C46" s="30"/>
      <c r="D46" s="30" t="s">
        <v>94</v>
      </c>
      <c r="E46" s="31">
        <v>45293.0</v>
      </c>
      <c r="F46" s="31"/>
      <c r="G46" s="33">
        <v>10.508448571641509</v>
      </c>
      <c r="H46" s="32"/>
      <c r="I46" s="33">
        <f t="shared" si="1"/>
        <v>0.08722012314</v>
      </c>
      <c r="J46" s="33">
        <f t="shared" si="2"/>
        <v>10.59566869</v>
      </c>
      <c r="K46" s="30"/>
      <c r="L46" s="33">
        <f t="shared" si="3"/>
        <v>10.59566869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0.0" customHeight="1">
      <c r="A47" s="41">
        <v>41.0</v>
      </c>
      <c r="B47" s="30" t="s">
        <v>117</v>
      </c>
      <c r="C47" s="30"/>
      <c r="D47" s="30" t="s">
        <v>94</v>
      </c>
      <c r="E47" s="31">
        <v>45414.0</v>
      </c>
      <c r="F47" s="31"/>
      <c r="G47" s="33">
        <v>308.83656312417673</v>
      </c>
      <c r="H47" s="38">
        <v>50.0</v>
      </c>
      <c r="I47" s="33">
        <f t="shared" si="1"/>
        <v>2.563343474</v>
      </c>
      <c r="J47" s="33">
        <f t="shared" si="2"/>
        <v>361.3999066</v>
      </c>
      <c r="K47" s="30"/>
      <c r="L47" s="33">
        <f t="shared" si="3"/>
        <v>361.3999066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0.0" customHeight="1">
      <c r="A48" s="41">
        <v>42.0</v>
      </c>
      <c r="B48" s="30" t="s">
        <v>118</v>
      </c>
      <c r="C48" s="30"/>
      <c r="D48" s="30" t="s">
        <v>94</v>
      </c>
      <c r="E48" s="31">
        <v>45303.0</v>
      </c>
      <c r="F48" s="31"/>
      <c r="G48" s="33">
        <v>21.016897143283018</v>
      </c>
      <c r="H48" s="32"/>
      <c r="I48" s="33">
        <f t="shared" si="1"/>
        <v>0.1744402463</v>
      </c>
      <c r="J48" s="33">
        <f t="shared" si="2"/>
        <v>21.19133739</v>
      </c>
      <c r="K48" s="30"/>
      <c r="L48" s="33">
        <f t="shared" si="3"/>
        <v>21.19133739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0.0" customHeight="1">
      <c r="A49" s="41">
        <v>43.0</v>
      </c>
      <c r="B49" s="30" t="s">
        <v>120</v>
      </c>
      <c r="C49" s="30"/>
      <c r="D49" s="30" t="s">
        <v>94</v>
      </c>
      <c r="E49" s="31">
        <v>45419.0</v>
      </c>
      <c r="F49" s="31"/>
      <c r="G49" s="33">
        <v>61.258864053193825</v>
      </c>
      <c r="H49" s="38">
        <v>10.0</v>
      </c>
      <c r="I49" s="33">
        <f t="shared" si="1"/>
        <v>0.5084485716</v>
      </c>
      <c r="J49" s="33">
        <f t="shared" si="2"/>
        <v>71.76731262</v>
      </c>
      <c r="K49" s="30"/>
      <c r="L49" s="33">
        <f t="shared" si="3"/>
        <v>71.76731262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0.0" customHeight="1">
      <c r="A50" s="41">
        <v>44.0</v>
      </c>
      <c r="B50" s="30" t="s">
        <v>121</v>
      </c>
      <c r="C50" s="30"/>
      <c r="D50" s="30" t="s">
        <v>94</v>
      </c>
      <c r="E50" s="31">
        <v>45324.0</v>
      </c>
      <c r="F50" s="31"/>
      <c r="G50" s="33">
        <v>10.42194641638551</v>
      </c>
      <c r="H50" s="32"/>
      <c r="I50" s="33">
        <f t="shared" si="1"/>
        <v>0.08650215526</v>
      </c>
      <c r="J50" s="33">
        <f t="shared" si="2"/>
        <v>10.50844857</v>
      </c>
      <c r="K50" s="30"/>
      <c r="L50" s="33">
        <f t="shared" si="3"/>
        <v>10.50844857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0.0" customHeight="1">
      <c r="A51" s="41">
        <v>45.0</v>
      </c>
      <c r="B51" s="30" t="s">
        <v>124</v>
      </c>
      <c r="C51" s="30"/>
      <c r="D51" s="30" t="s">
        <v>94</v>
      </c>
      <c r="E51" s="31">
        <v>45332.0</v>
      </c>
      <c r="F51" s="31"/>
      <c r="G51" s="33">
        <v>20.42194641638551</v>
      </c>
      <c r="H51" s="38">
        <v>10.0</v>
      </c>
      <c r="I51" s="33">
        <f t="shared" si="1"/>
        <v>0.1695021553</v>
      </c>
      <c r="J51" s="33">
        <f t="shared" si="2"/>
        <v>30.59144857</v>
      </c>
      <c r="K51" s="30"/>
      <c r="L51" s="33">
        <f t="shared" si="3"/>
        <v>30.59144857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0.0" customHeight="1">
      <c r="A52" s="41">
        <v>46.0</v>
      </c>
      <c r="B52" s="13" t="s">
        <v>125</v>
      </c>
      <c r="C52" s="13"/>
      <c r="D52" s="30" t="s">
        <v>94</v>
      </c>
      <c r="E52" s="14">
        <v>45423.0</v>
      </c>
      <c r="F52" s="14"/>
      <c r="G52" s="33">
        <v>102.17389049041832</v>
      </c>
      <c r="H52" s="32"/>
      <c r="I52" s="33">
        <f t="shared" si="1"/>
        <v>0.8480432911</v>
      </c>
      <c r="J52" s="33">
        <f t="shared" si="2"/>
        <v>103.0219338</v>
      </c>
      <c r="K52" s="13"/>
      <c r="L52" s="33">
        <f t="shared" si="3"/>
        <v>103.0219338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0.0" customHeight="1">
      <c r="A53" s="41">
        <v>47.0</v>
      </c>
      <c r="B53" s="54" t="s">
        <v>126</v>
      </c>
      <c r="C53" s="13"/>
      <c r="D53" s="30" t="s">
        <v>94</v>
      </c>
      <c r="E53" s="14">
        <v>45420.0</v>
      </c>
      <c r="F53" s="14"/>
      <c r="G53" s="33">
        <v>226.16974807874982</v>
      </c>
      <c r="H53" s="38">
        <v>10.0</v>
      </c>
      <c r="I53" s="33">
        <f t="shared" si="1"/>
        <v>1.877208909</v>
      </c>
      <c r="J53" s="33">
        <f t="shared" si="2"/>
        <v>238.046957</v>
      </c>
      <c r="K53" s="13"/>
      <c r="L53" s="33">
        <f t="shared" si="3"/>
        <v>238.046957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0.0" customHeight="1">
      <c r="A54" s="41">
        <v>48.0</v>
      </c>
      <c r="B54" s="13" t="s">
        <v>127</v>
      </c>
      <c r="C54" s="13"/>
      <c r="D54" s="30" t="s">
        <v>94</v>
      </c>
      <c r="E54" s="14">
        <v>45420.0</v>
      </c>
      <c r="F54" s="14"/>
      <c r="G54" s="33">
        <v>41.00569043787664</v>
      </c>
      <c r="H54" s="32"/>
      <c r="I54" s="33">
        <f t="shared" si="1"/>
        <v>0.3403472306</v>
      </c>
      <c r="J54" s="33">
        <f t="shared" si="2"/>
        <v>41.34603767</v>
      </c>
      <c r="K54" s="13"/>
      <c r="L54" s="33">
        <f t="shared" si="3"/>
        <v>41.34603767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0.0" customHeight="1">
      <c r="A55" s="41">
        <v>49.0</v>
      </c>
      <c r="B55" s="13" t="s">
        <v>128</v>
      </c>
      <c r="C55" s="13"/>
      <c r="D55" s="30" t="s">
        <v>94</v>
      </c>
      <c r="E55" s="14">
        <v>45414.0</v>
      </c>
      <c r="F55" s="14"/>
      <c r="G55" s="33">
        <v>50.836917636808316</v>
      </c>
      <c r="H55" s="38">
        <v>10.0</v>
      </c>
      <c r="I55" s="33">
        <f t="shared" si="1"/>
        <v>0.4219464164</v>
      </c>
      <c r="J55" s="33">
        <f t="shared" si="2"/>
        <v>61.25886405</v>
      </c>
      <c r="K55" s="13"/>
      <c r="L55" s="33">
        <f t="shared" si="3"/>
        <v>61.25886405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0.0" customHeight="1">
      <c r="A56" s="41">
        <v>50.0</v>
      </c>
      <c r="B56" s="13" t="s">
        <v>129</v>
      </c>
      <c r="C56" s="13"/>
      <c r="D56" s="30" t="s">
        <v>94</v>
      </c>
      <c r="E56" s="14">
        <v>45514.0</v>
      </c>
      <c r="F56" s="14" t="s">
        <v>101</v>
      </c>
      <c r="G56" s="33">
        <v>1024.7524771840417</v>
      </c>
      <c r="H56" s="38">
        <v>10.0</v>
      </c>
      <c r="I56" s="33">
        <f t="shared" si="1"/>
        <v>8.505445561</v>
      </c>
      <c r="J56" s="33">
        <f t="shared" si="2"/>
        <v>1043.257923</v>
      </c>
      <c r="K56" s="13"/>
      <c r="L56" s="33">
        <f t="shared" si="3"/>
        <v>1043.257923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0.0" customHeight="1">
      <c r="A57" s="41">
        <v>50.0</v>
      </c>
      <c r="B57" s="13" t="s">
        <v>132</v>
      </c>
      <c r="C57" s="13"/>
      <c r="D57" s="30" t="s">
        <v>94</v>
      </c>
      <c r="E57" s="14">
        <v>45420.0</v>
      </c>
      <c r="F57" s="14"/>
      <c r="G57" s="33">
        <v>15.292225108934998</v>
      </c>
      <c r="H57" s="32"/>
      <c r="I57" s="33">
        <f t="shared" si="1"/>
        <v>0.1269254684</v>
      </c>
      <c r="J57" s="33">
        <f t="shared" si="2"/>
        <v>15.41915058</v>
      </c>
      <c r="K57" s="13"/>
      <c r="L57" s="33">
        <f t="shared" si="3"/>
        <v>15.41915058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30.0" customHeight="1">
      <c r="A58" s="41">
        <v>51.0</v>
      </c>
      <c r="B58" s="13" t="s">
        <v>133</v>
      </c>
      <c r="C58" s="13"/>
      <c r="D58" s="30" t="s">
        <v>94</v>
      </c>
      <c r="E58" s="58">
        <v>45506.0</v>
      </c>
      <c r="F58" s="14"/>
      <c r="G58" s="33">
        <v>111.25121153574</v>
      </c>
      <c r="H58" s="38">
        <v>20.0</v>
      </c>
      <c r="I58" s="33">
        <f t="shared" si="1"/>
        <v>0.9233850557</v>
      </c>
      <c r="J58" s="33">
        <f t="shared" si="2"/>
        <v>132.1745966</v>
      </c>
      <c r="K58" s="13"/>
      <c r="L58" s="33">
        <f t="shared" si="3"/>
        <v>132.1745966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30.0" customHeight="1">
      <c r="A59" s="41">
        <v>52.0</v>
      </c>
      <c r="B59" s="30" t="s">
        <v>134</v>
      </c>
      <c r="C59" s="13"/>
      <c r="D59" s="30" t="s">
        <v>94</v>
      </c>
      <c r="E59" s="14">
        <v>45390.0</v>
      </c>
      <c r="F59" s="14" t="s">
        <v>131</v>
      </c>
      <c r="G59" s="33">
        <v>20.41776131787</v>
      </c>
      <c r="H59" s="32"/>
      <c r="I59" s="33">
        <f t="shared" si="1"/>
        <v>0.1694674189</v>
      </c>
      <c r="J59" s="33">
        <f t="shared" si="2"/>
        <v>20.58722874</v>
      </c>
      <c r="K59" s="13"/>
      <c r="L59" s="33">
        <f t="shared" si="3"/>
        <v>20.58722874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0.0" customHeight="1">
      <c r="A60" s="41">
        <v>53.0</v>
      </c>
      <c r="B60" s="13" t="s">
        <v>135</v>
      </c>
      <c r="C60" s="13"/>
      <c r="D60" s="30" t="s">
        <v>94</v>
      </c>
      <c r="E60" s="14">
        <v>45390.0</v>
      </c>
      <c r="F60" s="14" t="s">
        <v>131</v>
      </c>
      <c r="G60" s="33">
        <v>40.417761317869996</v>
      </c>
      <c r="H60" s="38">
        <v>20.0</v>
      </c>
      <c r="I60" s="33">
        <f t="shared" si="1"/>
        <v>0.3354674189</v>
      </c>
      <c r="J60" s="33">
        <f t="shared" si="2"/>
        <v>60.75322874</v>
      </c>
      <c r="K60" s="13"/>
      <c r="L60" s="33">
        <f t="shared" si="3"/>
        <v>60.75322874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30.0" customHeight="1">
      <c r="A61" s="41">
        <v>54.0</v>
      </c>
      <c r="B61" s="13" t="s">
        <v>136</v>
      </c>
      <c r="C61" s="13"/>
      <c r="D61" s="30" t="s">
        <v>94</v>
      </c>
      <c r="E61" s="14">
        <v>45390.0</v>
      </c>
      <c r="F61" s="14" t="s">
        <v>131</v>
      </c>
      <c r="G61" s="33">
        <v>20.41776131787</v>
      </c>
      <c r="H61" s="32"/>
      <c r="I61" s="33">
        <f t="shared" si="1"/>
        <v>0.1694674189</v>
      </c>
      <c r="J61" s="33">
        <f t="shared" si="2"/>
        <v>20.58722874</v>
      </c>
      <c r="K61" s="13"/>
      <c r="L61" s="33">
        <f t="shared" si="3"/>
        <v>20.58722874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0.0" customHeight="1">
      <c r="A62" s="41">
        <v>55.0</v>
      </c>
      <c r="B62" s="13" t="s">
        <v>138</v>
      </c>
      <c r="C62" s="13"/>
      <c r="D62" s="30" t="s">
        <v>94</v>
      </c>
      <c r="E62" s="14">
        <v>45420.0</v>
      </c>
      <c r="F62" s="14"/>
      <c r="G62" s="33">
        <v>10.1666889</v>
      </c>
      <c r="H62" s="32"/>
      <c r="I62" s="33">
        <f t="shared" si="1"/>
        <v>0.08438351787</v>
      </c>
      <c r="J62" s="33">
        <f t="shared" si="2"/>
        <v>10.25107242</v>
      </c>
      <c r="K62" s="13"/>
      <c r="L62" s="33">
        <f t="shared" si="3"/>
        <v>10.25107242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30.0" customHeight="1">
      <c r="A63" s="41">
        <v>56.0</v>
      </c>
      <c r="B63" s="13" t="s">
        <v>142</v>
      </c>
      <c r="C63" s="13"/>
      <c r="D63" s="30" t="s">
        <v>94</v>
      </c>
      <c r="E63" s="14"/>
      <c r="F63" s="14"/>
      <c r="G63" s="53"/>
      <c r="H63" s="38">
        <v>5.0</v>
      </c>
      <c r="I63" s="33">
        <f t="shared" si="1"/>
        <v>0</v>
      </c>
      <c r="J63" s="33">
        <f t="shared" si="2"/>
        <v>5</v>
      </c>
      <c r="K63" s="13"/>
      <c r="L63" s="33">
        <f>H63</f>
        <v>5</v>
      </c>
      <c r="M63" s="4" t="s">
        <v>143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30.0" customHeight="1">
      <c r="A64" s="41"/>
      <c r="B64" s="13"/>
      <c r="C64" s="13"/>
      <c r="D64" s="30"/>
      <c r="E64" s="14"/>
      <c r="F64" s="14"/>
      <c r="G64" s="53"/>
      <c r="H64" s="32"/>
      <c r="I64" s="16"/>
      <c r="J64" s="33"/>
      <c r="K64" s="13"/>
      <c r="L64" s="3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30.0" customHeight="1">
      <c r="A65" s="41"/>
      <c r="B65" s="13"/>
      <c r="C65" s="13"/>
      <c r="D65" s="30"/>
      <c r="E65" s="14"/>
      <c r="F65" s="14"/>
      <c r="G65" s="53"/>
      <c r="H65" s="32"/>
      <c r="I65" s="16"/>
      <c r="J65" s="33"/>
      <c r="K65" s="13"/>
      <c r="L65" s="3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30.0" customHeight="1">
      <c r="A66" s="41"/>
      <c r="B66" s="13"/>
      <c r="C66" s="13"/>
      <c r="D66" s="30"/>
      <c r="E66" s="14"/>
      <c r="F66" s="14"/>
      <c r="G66" s="53"/>
      <c r="H66" s="32"/>
      <c r="I66" s="16"/>
      <c r="J66" s="33"/>
      <c r="K66" s="13"/>
      <c r="L66" s="3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30.0" customHeight="1">
      <c r="A67" s="41"/>
      <c r="B67" s="13"/>
      <c r="C67" s="13"/>
      <c r="D67" s="30"/>
      <c r="E67" s="14"/>
      <c r="F67" s="14"/>
      <c r="G67" s="53"/>
      <c r="H67" s="32"/>
      <c r="I67" s="16"/>
      <c r="J67" s="33"/>
      <c r="K67" s="13"/>
      <c r="L67" s="3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30.0" customHeight="1">
      <c r="A68" s="41"/>
      <c r="B68" s="13"/>
      <c r="C68" s="13"/>
      <c r="D68" s="30"/>
      <c r="E68" s="14"/>
      <c r="F68" s="14"/>
      <c r="G68" s="53"/>
      <c r="H68" s="32"/>
      <c r="I68" s="16"/>
      <c r="J68" s="33"/>
      <c r="K68" s="13"/>
      <c r="L68" s="3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0" customHeight="1">
      <c r="A69" s="17"/>
      <c r="B69" s="13"/>
      <c r="C69" s="13"/>
      <c r="D69" s="13"/>
      <c r="E69" s="13"/>
      <c r="F69" s="13"/>
      <c r="G69" s="55">
        <f>SUM(G7:G59)</f>
        <v>49142.32991</v>
      </c>
      <c r="H69" s="18">
        <f>SUM(H7:H68)</f>
        <v>670.52</v>
      </c>
      <c r="I69" s="18">
        <f>SUM(I7:I57)</f>
        <v>406.7884858</v>
      </c>
      <c r="J69" s="18">
        <f>SUM(J7:J59)</f>
        <v>50195.73125</v>
      </c>
      <c r="K69" s="18">
        <f>SUM(K7:K55)</f>
        <v>0</v>
      </c>
      <c r="L69" s="18">
        <f>SUM(L7:L59)</f>
        <v>50195.73125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2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51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10.29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144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45422.0</v>
      </c>
      <c r="F7" s="31"/>
      <c r="G7" s="52">
        <v>4591.67102376541</v>
      </c>
      <c r="H7" s="32"/>
      <c r="I7" s="33">
        <f t="shared" ref="I7:I63" si="1">G7*0.83%</f>
        <v>38.1108695</v>
      </c>
      <c r="J7" s="33">
        <f t="shared" ref="J7:J63" si="2">G7+H7+I7</f>
        <v>4629.781893</v>
      </c>
      <c r="K7" s="30"/>
      <c r="L7" s="33">
        <f t="shared" ref="L7:L63" si="3">J7-K7</f>
        <v>4629.781893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45545.0</v>
      </c>
      <c r="F8" s="31"/>
      <c r="G8" s="52">
        <v>7586.002454753812</v>
      </c>
      <c r="H8" s="32">
        <v>30.0</v>
      </c>
      <c r="I8" s="33">
        <f t="shared" si="1"/>
        <v>62.96382037</v>
      </c>
      <c r="J8" s="33">
        <f t="shared" si="2"/>
        <v>7678.966275</v>
      </c>
      <c r="K8" s="30"/>
      <c r="L8" s="33">
        <f t="shared" si="3"/>
        <v>7678.966275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45545.0</v>
      </c>
      <c r="F9" s="31"/>
      <c r="G9" s="52">
        <v>7476.684822017063</v>
      </c>
      <c r="H9" s="32">
        <v>50.0</v>
      </c>
      <c r="I9" s="33">
        <f t="shared" si="1"/>
        <v>62.05648402</v>
      </c>
      <c r="J9" s="33">
        <f t="shared" si="2"/>
        <v>7588.741306</v>
      </c>
      <c r="K9" s="30"/>
      <c r="L9" s="33">
        <f t="shared" si="3"/>
        <v>7588.741306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52">
        <v>3076.622531141273</v>
      </c>
      <c r="H10" s="32"/>
      <c r="I10" s="32">
        <f t="shared" si="1"/>
        <v>25.53596701</v>
      </c>
      <c r="J10" s="32">
        <f t="shared" si="2"/>
        <v>3102.158498</v>
      </c>
      <c r="K10" s="34"/>
      <c r="L10" s="32">
        <f t="shared" si="3"/>
        <v>3102.158498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45239.0</v>
      </c>
      <c r="F11" s="35"/>
      <c r="G11" s="52">
        <v>493.0439010124017</v>
      </c>
      <c r="H11" s="32">
        <v>20.0</v>
      </c>
      <c r="I11" s="32">
        <f t="shared" si="1"/>
        <v>4.092264378</v>
      </c>
      <c r="J11" s="32">
        <f t="shared" si="2"/>
        <v>517.1361654</v>
      </c>
      <c r="K11" s="34"/>
      <c r="L11" s="32">
        <f t="shared" si="3"/>
        <v>517.1361654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45383.0</v>
      </c>
      <c r="F12" s="35"/>
      <c r="G12" s="52">
        <v>262.5697583032133</v>
      </c>
      <c r="H12" s="32">
        <v>25.0</v>
      </c>
      <c r="I12" s="32">
        <f t="shared" si="1"/>
        <v>2.179328994</v>
      </c>
      <c r="J12" s="32">
        <f t="shared" si="2"/>
        <v>289.7490873</v>
      </c>
      <c r="K12" s="34"/>
      <c r="L12" s="32">
        <f t="shared" si="3"/>
        <v>289.7490873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45422.0</v>
      </c>
      <c r="F13" s="31"/>
      <c r="G13" s="52">
        <v>7239.78940099595</v>
      </c>
      <c r="H13" s="32">
        <v>23.84</v>
      </c>
      <c r="I13" s="33">
        <f t="shared" si="1"/>
        <v>60.09025203</v>
      </c>
      <c r="J13" s="33">
        <f t="shared" si="2"/>
        <v>7323.719653</v>
      </c>
      <c r="K13" s="30"/>
      <c r="L13" s="33">
        <f t="shared" si="3"/>
        <v>7323.719653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45544.0</v>
      </c>
      <c r="F14" s="31"/>
      <c r="G14" s="52">
        <v>7007.912807709593</v>
      </c>
      <c r="H14" s="32">
        <v>100.0</v>
      </c>
      <c r="I14" s="33">
        <f t="shared" si="1"/>
        <v>58.1656763</v>
      </c>
      <c r="J14" s="33">
        <f t="shared" si="2"/>
        <v>7166.078484</v>
      </c>
      <c r="K14" s="30"/>
      <c r="L14" s="33">
        <f t="shared" si="3"/>
        <v>7166.078484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41">
        <v>9.0</v>
      </c>
      <c r="B15" s="30" t="s">
        <v>49</v>
      </c>
      <c r="C15" s="30" t="s">
        <v>91</v>
      </c>
      <c r="D15" s="30" t="s">
        <v>94</v>
      </c>
      <c r="E15" s="31">
        <v>45418.0</v>
      </c>
      <c r="F15" s="31" t="s">
        <v>38</v>
      </c>
      <c r="G15" s="52">
        <v>133.07106665844307</v>
      </c>
      <c r="H15" s="32"/>
      <c r="I15" s="33">
        <f t="shared" si="1"/>
        <v>1.104489853</v>
      </c>
      <c r="J15" s="33">
        <f t="shared" si="2"/>
        <v>134.1755565</v>
      </c>
      <c r="K15" s="30"/>
      <c r="L15" s="33">
        <f t="shared" si="3"/>
        <v>134.1755565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10.0</v>
      </c>
      <c r="B16" s="30" t="s">
        <v>58</v>
      </c>
      <c r="C16" s="30" t="s">
        <v>93</v>
      </c>
      <c r="D16" s="30" t="s">
        <v>94</v>
      </c>
      <c r="E16" s="31">
        <v>45383.0</v>
      </c>
      <c r="F16" s="31" t="s">
        <v>39</v>
      </c>
      <c r="G16" s="52">
        <v>323.39253518946776</v>
      </c>
      <c r="H16" s="32"/>
      <c r="I16" s="33">
        <f t="shared" si="1"/>
        <v>2.684158042</v>
      </c>
      <c r="J16" s="33">
        <f t="shared" si="2"/>
        <v>326.0766932</v>
      </c>
      <c r="K16" s="30"/>
      <c r="L16" s="33">
        <f t="shared" si="3"/>
        <v>326.0766932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11.0</v>
      </c>
      <c r="B17" s="30" t="s">
        <v>51</v>
      </c>
      <c r="C17" s="30" t="s">
        <v>91</v>
      </c>
      <c r="D17" s="30" t="s">
        <v>94</v>
      </c>
      <c r="E17" s="31">
        <v>45294.0</v>
      </c>
      <c r="F17" s="31" t="s">
        <v>34</v>
      </c>
      <c r="G17" s="52">
        <v>99.43014760625451</v>
      </c>
      <c r="H17" s="32">
        <v>10.0</v>
      </c>
      <c r="I17" s="33">
        <f t="shared" si="1"/>
        <v>0.8252702251</v>
      </c>
      <c r="J17" s="33">
        <f t="shared" si="2"/>
        <v>110.2554178</v>
      </c>
      <c r="K17" s="30"/>
      <c r="L17" s="33">
        <f t="shared" si="3"/>
        <v>110.2554178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12.0</v>
      </c>
      <c r="B18" s="30" t="s">
        <v>52</v>
      </c>
      <c r="C18" s="30" t="s">
        <v>91</v>
      </c>
      <c r="D18" s="30" t="s">
        <v>94</v>
      </c>
      <c r="E18" s="31">
        <v>45029.0</v>
      </c>
      <c r="F18" s="31" t="s">
        <v>38</v>
      </c>
      <c r="G18" s="52">
        <v>86.55597602562487</v>
      </c>
      <c r="H18" s="32"/>
      <c r="I18" s="33">
        <f t="shared" si="1"/>
        <v>0.718414601</v>
      </c>
      <c r="J18" s="33">
        <f t="shared" si="2"/>
        <v>87.27439063</v>
      </c>
      <c r="K18" s="30"/>
      <c r="L18" s="33">
        <f t="shared" si="3"/>
        <v>87.27439063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13.0</v>
      </c>
      <c r="B19" s="30" t="s">
        <v>72</v>
      </c>
      <c r="C19" s="30" t="s">
        <v>91</v>
      </c>
      <c r="D19" s="30" t="s">
        <v>94</v>
      </c>
      <c r="E19" s="31">
        <v>45387.0</v>
      </c>
      <c r="F19" s="31" t="s">
        <v>38</v>
      </c>
      <c r="G19" s="52">
        <v>237.2036252285214</v>
      </c>
      <c r="H19" s="32"/>
      <c r="I19" s="33">
        <f t="shared" si="1"/>
        <v>1.968790089</v>
      </c>
      <c r="J19" s="33">
        <f t="shared" si="2"/>
        <v>239.1724153</v>
      </c>
      <c r="K19" s="30"/>
      <c r="L19" s="33">
        <f t="shared" si="3"/>
        <v>239.1724153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41">
        <v>14.0</v>
      </c>
      <c r="B20" s="34" t="s">
        <v>54</v>
      </c>
      <c r="C20" s="34" t="s">
        <v>91</v>
      </c>
      <c r="D20" s="30" t="s">
        <v>94</v>
      </c>
      <c r="E20" s="35">
        <v>45414.0</v>
      </c>
      <c r="F20" s="35" t="s">
        <v>34</v>
      </c>
      <c r="G20" s="52">
        <v>1608.925706653776</v>
      </c>
      <c r="H20" s="32">
        <v>100.0</v>
      </c>
      <c r="I20" s="32">
        <f t="shared" si="1"/>
        <v>13.35408337</v>
      </c>
      <c r="J20" s="32">
        <f t="shared" si="2"/>
        <v>1722.27979</v>
      </c>
      <c r="K20" s="34"/>
      <c r="L20" s="32">
        <f t="shared" si="3"/>
        <v>1722.27979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41">
        <v>15.0</v>
      </c>
      <c r="B21" s="30" t="s">
        <v>55</v>
      </c>
      <c r="C21" s="30" t="s">
        <v>91</v>
      </c>
      <c r="D21" s="30" t="s">
        <v>94</v>
      </c>
      <c r="E21" s="31">
        <v>45386.0</v>
      </c>
      <c r="F21" s="31" t="s">
        <v>33</v>
      </c>
      <c r="G21" s="52">
        <v>183.1947980986625</v>
      </c>
      <c r="H21" s="32"/>
      <c r="I21" s="33">
        <f t="shared" si="1"/>
        <v>1.520516824</v>
      </c>
      <c r="J21" s="33">
        <f t="shared" si="2"/>
        <v>184.7153149</v>
      </c>
      <c r="K21" s="30"/>
      <c r="L21" s="33">
        <f t="shared" si="3"/>
        <v>184.7153149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16.0</v>
      </c>
      <c r="B22" s="30" t="s">
        <v>40</v>
      </c>
      <c r="C22" s="30" t="s">
        <v>91</v>
      </c>
      <c r="D22" s="30" t="s">
        <v>94</v>
      </c>
      <c r="E22" s="31">
        <v>45415.0</v>
      </c>
      <c r="F22" s="31" t="s">
        <v>38</v>
      </c>
      <c r="G22" s="52">
        <v>1797.636080568931</v>
      </c>
      <c r="H22" s="32">
        <v>50.0</v>
      </c>
      <c r="I22" s="33">
        <f t="shared" si="1"/>
        <v>14.92037947</v>
      </c>
      <c r="J22" s="33">
        <f t="shared" si="2"/>
        <v>1862.55646</v>
      </c>
      <c r="K22" s="30"/>
      <c r="L22" s="33">
        <f t="shared" si="3"/>
        <v>1862.55646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17.0</v>
      </c>
      <c r="B23" s="34" t="s">
        <v>41</v>
      </c>
      <c r="C23" s="34" t="s">
        <v>91</v>
      </c>
      <c r="D23" s="30" t="s">
        <v>94</v>
      </c>
      <c r="E23" s="35">
        <v>45414.0</v>
      </c>
      <c r="F23" s="35" t="s">
        <v>34</v>
      </c>
      <c r="G23" s="52">
        <v>273.8109236427046</v>
      </c>
      <c r="H23" s="39">
        <v>20.0</v>
      </c>
      <c r="I23" s="32">
        <f t="shared" si="1"/>
        <v>2.272630666</v>
      </c>
      <c r="J23" s="32">
        <f t="shared" si="2"/>
        <v>296.0835543</v>
      </c>
      <c r="K23" s="34"/>
      <c r="L23" s="32">
        <f t="shared" si="3"/>
        <v>296.0835543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18.0</v>
      </c>
      <c r="B24" s="30" t="s">
        <v>95</v>
      </c>
      <c r="C24" s="30" t="s">
        <v>93</v>
      </c>
      <c r="D24" s="30" t="s">
        <v>94</v>
      </c>
      <c r="E24" s="31">
        <v>45427.0</v>
      </c>
      <c r="F24" s="31" t="s">
        <v>39</v>
      </c>
      <c r="G24" s="52">
        <v>623.1236848437599</v>
      </c>
      <c r="H24" s="39">
        <v>10.0</v>
      </c>
      <c r="I24" s="33">
        <f t="shared" si="1"/>
        <v>5.171926584</v>
      </c>
      <c r="J24" s="33">
        <f t="shared" si="2"/>
        <v>638.2956114</v>
      </c>
      <c r="K24" s="30"/>
      <c r="L24" s="33">
        <f t="shared" si="3"/>
        <v>638.2956114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19.0</v>
      </c>
      <c r="B25" s="30" t="s">
        <v>96</v>
      </c>
      <c r="C25" s="30" t="s">
        <v>91</v>
      </c>
      <c r="D25" s="30" t="s">
        <v>94</v>
      </c>
      <c r="E25" s="31">
        <v>45388.0</v>
      </c>
      <c r="F25" s="31" t="s">
        <v>33</v>
      </c>
      <c r="G25" s="52">
        <v>239.79372880525202</v>
      </c>
      <c r="H25" s="39"/>
      <c r="I25" s="33">
        <f t="shared" si="1"/>
        <v>1.990287949</v>
      </c>
      <c r="J25" s="33">
        <f t="shared" si="2"/>
        <v>241.7840168</v>
      </c>
      <c r="K25" s="30"/>
      <c r="L25" s="33">
        <f t="shared" si="3"/>
        <v>241.7840168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>
        <v>45386.0</v>
      </c>
      <c r="F26" s="31" t="s">
        <v>34</v>
      </c>
      <c r="G26" s="52">
        <v>81.08594482972474</v>
      </c>
      <c r="H26" s="39"/>
      <c r="I26" s="33">
        <f t="shared" si="1"/>
        <v>0.6730133421</v>
      </c>
      <c r="J26" s="33">
        <f t="shared" si="2"/>
        <v>81.75895817</v>
      </c>
      <c r="K26" s="30"/>
      <c r="L26" s="33">
        <f t="shared" si="3"/>
        <v>81.75895817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52">
        <v>119.02290891174444</v>
      </c>
      <c r="H27" s="39"/>
      <c r="I27" s="32">
        <f t="shared" si="1"/>
        <v>0.987890144</v>
      </c>
      <c r="J27" s="32">
        <f t="shared" si="2"/>
        <v>120.0107991</v>
      </c>
      <c r="K27" s="34"/>
      <c r="L27" s="32">
        <f t="shared" si="3"/>
        <v>120.0107991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52">
        <v>140.1290398857837</v>
      </c>
      <c r="H28" s="39"/>
      <c r="I28" s="33">
        <f t="shared" si="1"/>
        <v>1.163071031</v>
      </c>
      <c r="J28" s="33">
        <f t="shared" si="2"/>
        <v>141.2921109</v>
      </c>
      <c r="K28" s="30"/>
      <c r="L28" s="33">
        <f t="shared" si="3"/>
        <v>141.2921109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45422.0</v>
      </c>
      <c r="F29" s="31" t="s">
        <v>39</v>
      </c>
      <c r="G29" s="52">
        <v>1010.191515009785</v>
      </c>
      <c r="H29" s="39"/>
      <c r="I29" s="33">
        <f t="shared" si="1"/>
        <v>8.384589575</v>
      </c>
      <c r="J29" s="33">
        <f t="shared" si="2"/>
        <v>1018.576105</v>
      </c>
      <c r="K29" s="30"/>
      <c r="L29" s="33">
        <f t="shared" si="3"/>
        <v>1018.576105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45420.0</v>
      </c>
      <c r="F30" s="31" t="s">
        <v>40</v>
      </c>
      <c r="G30" s="52">
        <v>660.6365235607507</v>
      </c>
      <c r="H30" s="39"/>
      <c r="I30" s="33">
        <f t="shared" si="1"/>
        <v>5.483283146</v>
      </c>
      <c r="J30" s="33">
        <f t="shared" si="2"/>
        <v>666.1198067</v>
      </c>
      <c r="K30" s="30"/>
      <c r="L30" s="33">
        <f t="shared" si="3"/>
        <v>666.1198067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45383.0</v>
      </c>
      <c r="F31" s="31" t="s">
        <v>39</v>
      </c>
      <c r="G31" s="52">
        <v>43.39810695710686</v>
      </c>
      <c r="H31" s="39"/>
      <c r="I31" s="33">
        <f t="shared" si="1"/>
        <v>0.3602042877</v>
      </c>
      <c r="J31" s="33">
        <f t="shared" si="2"/>
        <v>43.75831124</v>
      </c>
      <c r="K31" s="30"/>
      <c r="L31" s="33">
        <f t="shared" si="3"/>
        <v>43.75831124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52">
        <v>66.54509646447775</v>
      </c>
      <c r="H32" s="39"/>
      <c r="I32" s="33">
        <f t="shared" si="1"/>
        <v>0.5523243007</v>
      </c>
      <c r="J32" s="33">
        <f t="shared" si="2"/>
        <v>67.09742077</v>
      </c>
      <c r="K32" s="30"/>
      <c r="L32" s="33">
        <f t="shared" si="3"/>
        <v>67.09742077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52">
        <v>224.53281531121294</v>
      </c>
      <c r="H33" s="39"/>
      <c r="I33" s="33">
        <f t="shared" si="1"/>
        <v>1.863622367</v>
      </c>
      <c r="J33" s="33">
        <f t="shared" si="2"/>
        <v>226.3964377</v>
      </c>
      <c r="K33" s="30"/>
      <c r="L33" s="33">
        <f t="shared" si="3"/>
        <v>226.3964377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45427.0</v>
      </c>
      <c r="F34" s="31" t="s">
        <v>39</v>
      </c>
      <c r="G34" s="52">
        <v>68.3715736632381</v>
      </c>
      <c r="H34" s="32"/>
      <c r="I34" s="33">
        <f t="shared" si="1"/>
        <v>0.5674840614</v>
      </c>
      <c r="J34" s="33">
        <f t="shared" si="2"/>
        <v>68.93905772</v>
      </c>
      <c r="K34" s="30"/>
      <c r="L34" s="33">
        <f t="shared" si="3"/>
        <v>68.93905772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45235.0</v>
      </c>
      <c r="F35" s="31"/>
      <c r="G35" s="52">
        <v>1078.5735332857378</v>
      </c>
      <c r="H35" s="32"/>
      <c r="I35" s="33">
        <f t="shared" si="1"/>
        <v>8.952160326</v>
      </c>
      <c r="J35" s="33">
        <f t="shared" si="2"/>
        <v>1087.525694</v>
      </c>
      <c r="K35" s="30"/>
      <c r="L35" s="33">
        <f t="shared" si="3"/>
        <v>1087.525694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52">
        <v>16.20387413449394</v>
      </c>
      <c r="H36" s="32"/>
      <c r="I36" s="33">
        <f t="shared" si="1"/>
        <v>0.1344921553</v>
      </c>
      <c r="J36" s="33">
        <f t="shared" si="2"/>
        <v>16.33836629</v>
      </c>
      <c r="K36" s="30"/>
      <c r="L36" s="33">
        <f t="shared" si="3"/>
        <v>16.33836629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0.0" customHeight="1">
      <c r="A37" s="41">
        <v>31.0</v>
      </c>
      <c r="B37" s="30" t="s">
        <v>104</v>
      </c>
      <c r="C37" s="30"/>
      <c r="D37" s="30" t="s">
        <v>94</v>
      </c>
      <c r="E37" s="31">
        <v>45416.0</v>
      </c>
      <c r="F37" s="31"/>
      <c r="G37" s="52">
        <v>141.1379132842888</v>
      </c>
      <c r="H37" s="32">
        <v>15.0</v>
      </c>
      <c r="I37" s="33">
        <f t="shared" si="1"/>
        <v>1.17144468</v>
      </c>
      <c r="J37" s="33">
        <f t="shared" si="2"/>
        <v>157.309358</v>
      </c>
      <c r="K37" s="30"/>
      <c r="L37" s="33">
        <f t="shared" si="3"/>
        <v>157.309358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32.0</v>
      </c>
      <c r="B38" s="30" t="s">
        <v>105</v>
      </c>
      <c r="C38" s="30"/>
      <c r="D38" s="30" t="s">
        <v>94</v>
      </c>
      <c r="E38" s="31">
        <v>45420.0</v>
      </c>
      <c r="F38" s="31"/>
      <c r="G38" s="52">
        <v>250.46416393498026</v>
      </c>
      <c r="H38" s="32"/>
      <c r="I38" s="33">
        <f t="shared" si="1"/>
        <v>2.078852561</v>
      </c>
      <c r="J38" s="33">
        <f t="shared" si="2"/>
        <v>252.5430165</v>
      </c>
      <c r="K38" s="30"/>
      <c r="L38" s="33">
        <f t="shared" si="3"/>
        <v>252.5430165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33.0</v>
      </c>
      <c r="B39" s="30" t="s">
        <v>106</v>
      </c>
      <c r="C39" s="30"/>
      <c r="D39" s="30" t="s">
        <v>94</v>
      </c>
      <c r="E39" s="31">
        <v>45414.0</v>
      </c>
      <c r="F39" s="31"/>
      <c r="G39" s="52">
        <v>109.55538860591138</v>
      </c>
      <c r="H39" s="32">
        <v>10.0</v>
      </c>
      <c r="I39" s="33">
        <f t="shared" si="1"/>
        <v>0.9093097254</v>
      </c>
      <c r="J39" s="33">
        <f t="shared" si="2"/>
        <v>120.4646983</v>
      </c>
      <c r="K39" s="30"/>
      <c r="L39" s="33">
        <f t="shared" si="3"/>
        <v>120.4646983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0.0" customHeight="1">
      <c r="A40" s="41">
        <v>34.0</v>
      </c>
      <c r="B40" s="30" t="s">
        <v>107</v>
      </c>
      <c r="C40" s="30"/>
      <c r="D40" s="30" t="s">
        <v>94</v>
      </c>
      <c r="E40" s="31">
        <v>45414.0</v>
      </c>
      <c r="F40" s="31"/>
      <c r="G40" s="52">
        <v>210.2085210767126</v>
      </c>
      <c r="H40" s="32"/>
      <c r="I40" s="33">
        <f t="shared" si="1"/>
        <v>1.744730725</v>
      </c>
      <c r="J40" s="33">
        <f t="shared" si="2"/>
        <v>211.9532518</v>
      </c>
      <c r="K40" s="30"/>
      <c r="L40" s="33">
        <f t="shared" si="3"/>
        <v>211.9532518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0.0" customHeight="1">
      <c r="A41" s="41">
        <v>35.0</v>
      </c>
      <c r="B41" s="30" t="s">
        <v>108</v>
      </c>
      <c r="C41" s="30"/>
      <c r="D41" s="30" t="s">
        <v>94</v>
      </c>
      <c r="E41" s="31">
        <v>45330.0</v>
      </c>
      <c r="F41" s="31"/>
      <c r="G41" s="52">
        <v>58.50505790271754</v>
      </c>
      <c r="H41" s="32"/>
      <c r="I41" s="33">
        <f t="shared" si="1"/>
        <v>0.4855919806</v>
      </c>
      <c r="J41" s="33">
        <f t="shared" si="2"/>
        <v>58.99064988</v>
      </c>
      <c r="K41" s="30"/>
      <c r="L41" s="33">
        <f t="shared" si="3"/>
        <v>58.99064988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0.0" customHeight="1">
      <c r="A42" s="41">
        <v>36.0</v>
      </c>
      <c r="B42" s="30" t="s">
        <v>109</v>
      </c>
      <c r="C42" s="30"/>
      <c r="D42" s="30" t="s">
        <v>94</v>
      </c>
      <c r="E42" s="31">
        <v>45333.0</v>
      </c>
      <c r="F42" s="31"/>
      <c r="G42" s="52">
        <v>169.39295229817938</v>
      </c>
      <c r="H42" s="32">
        <v>10.0</v>
      </c>
      <c r="I42" s="33">
        <f t="shared" si="1"/>
        <v>1.405961504</v>
      </c>
      <c r="J42" s="33">
        <f t="shared" si="2"/>
        <v>180.7989138</v>
      </c>
      <c r="K42" s="30"/>
      <c r="L42" s="33">
        <f t="shared" si="3"/>
        <v>180.7989138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0.0" customHeight="1">
      <c r="A43" s="41">
        <v>37.0</v>
      </c>
      <c r="B43" s="30" t="s">
        <v>110</v>
      </c>
      <c r="C43" s="30"/>
      <c r="D43" s="30" t="s">
        <v>94</v>
      </c>
      <c r="E43" s="31">
        <v>45418.0</v>
      </c>
      <c r="F43" s="31"/>
      <c r="G43" s="52">
        <v>170.57574999791782</v>
      </c>
      <c r="H43" s="32"/>
      <c r="I43" s="33">
        <f t="shared" si="1"/>
        <v>1.415778725</v>
      </c>
      <c r="J43" s="33">
        <f t="shared" si="2"/>
        <v>171.9915287</v>
      </c>
      <c r="K43" s="30"/>
      <c r="L43" s="33">
        <f t="shared" si="3"/>
        <v>171.9915287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0.0" customHeight="1">
      <c r="A44" s="41">
        <v>38.0</v>
      </c>
      <c r="B44" s="30" t="s">
        <v>111</v>
      </c>
      <c r="C44" s="30"/>
      <c r="D44" s="30" t="s">
        <v>94</v>
      </c>
      <c r="E44" s="31">
        <v>45333.0</v>
      </c>
      <c r="F44" s="31"/>
      <c r="G44" s="52">
        <v>53.96479828824759</v>
      </c>
      <c r="H44" s="32"/>
      <c r="I44" s="33">
        <f t="shared" si="1"/>
        <v>0.4479078258</v>
      </c>
      <c r="J44" s="33">
        <f t="shared" si="2"/>
        <v>54.41270611</v>
      </c>
      <c r="K44" s="30"/>
      <c r="L44" s="33">
        <f t="shared" si="3"/>
        <v>54.41270611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0.0" customHeight="1">
      <c r="A45" s="41">
        <v>39.0</v>
      </c>
      <c r="B45" s="30" t="s">
        <v>112</v>
      </c>
      <c r="C45" s="30"/>
      <c r="D45" s="30" t="s">
        <v>94</v>
      </c>
      <c r="E45" s="31">
        <v>45245.0</v>
      </c>
      <c r="F45" s="31"/>
      <c r="G45" s="52">
        <v>21.63398344133704</v>
      </c>
      <c r="H45" s="32"/>
      <c r="I45" s="33">
        <f t="shared" si="1"/>
        <v>0.1795620626</v>
      </c>
      <c r="J45" s="33">
        <f t="shared" si="2"/>
        <v>21.8135455</v>
      </c>
      <c r="K45" s="30"/>
      <c r="L45" s="33">
        <f t="shared" si="3"/>
        <v>21.8135455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0.0" customHeight="1">
      <c r="A46" s="41">
        <v>40.0</v>
      </c>
      <c r="B46" s="30" t="s">
        <v>116</v>
      </c>
      <c r="C46" s="30"/>
      <c r="D46" s="30" t="s">
        <v>94</v>
      </c>
      <c r="E46" s="31">
        <v>45293.0</v>
      </c>
      <c r="F46" s="31"/>
      <c r="G46" s="52">
        <v>10.595668694786132</v>
      </c>
      <c r="H46" s="32"/>
      <c r="I46" s="33">
        <f t="shared" si="1"/>
        <v>0.08794405017</v>
      </c>
      <c r="J46" s="33">
        <f t="shared" si="2"/>
        <v>10.68361274</v>
      </c>
      <c r="K46" s="30"/>
      <c r="L46" s="33">
        <f t="shared" si="3"/>
        <v>10.68361274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0.0" customHeight="1">
      <c r="A47" s="41">
        <v>41.0</v>
      </c>
      <c r="B47" s="30" t="s">
        <v>117</v>
      </c>
      <c r="C47" s="30"/>
      <c r="D47" s="30" t="s">
        <v>94</v>
      </c>
      <c r="E47" s="31">
        <v>45414.0</v>
      </c>
      <c r="F47" s="31"/>
      <c r="G47" s="52">
        <v>361.3999065981074</v>
      </c>
      <c r="H47" s="32"/>
      <c r="I47" s="33">
        <f t="shared" si="1"/>
        <v>2.999619225</v>
      </c>
      <c r="J47" s="33">
        <f t="shared" si="2"/>
        <v>364.3995258</v>
      </c>
      <c r="K47" s="30"/>
      <c r="L47" s="33">
        <f t="shared" si="3"/>
        <v>364.3995258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0.0" customHeight="1">
      <c r="A48" s="41">
        <v>42.0</v>
      </c>
      <c r="B48" s="30" t="s">
        <v>118</v>
      </c>
      <c r="C48" s="30"/>
      <c r="D48" s="30" t="s">
        <v>94</v>
      </c>
      <c r="E48" s="31">
        <v>45303.0</v>
      </c>
      <c r="F48" s="31"/>
      <c r="G48" s="52">
        <v>21.191337389572265</v>
      </c>
      <c r="H48" s="32"/>
      <c r="I48" s="33">
        <f t="shared" si="1"/>
        <v>0.1758881003</v>
      </c>
      <c r="J48" s="33">
        <f t="shared" si="2"/>
        <v>21.36722549</v>
      </c>
      <c r="K48" s="30"/>
      <c r="L48" s="33">
        <f t="shared" si="3"/>
        <v>21.36722549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0.0" customHeight="1">
      <c r="A49" s="41">
        <v>43.0</v>
      </c>
      <c r="B49" s="30" t="s">
        <v>120</v>
      </c>
      <c r="C49" s="30"/>
      <c r="D49" s="30" t="s">
        <v>94</v>
      </c>
      <c r="E49" s="31">
        <v>45419.0</v>
      </c>
      <c r="F49" s="31"/>
      <c r="G49" s="52">
        <v>71.76731262483534</v>
      </c>
      <c r="H49" s="32">
        <v>10.0</v>
      </c>
      <c r="I49" s="33">
        <f t="shared" si="1"/>
        <v>0.5956686948</v>
      </c>
      <c r="J49" s="33">
        <f t="shared" si="2"/>
        <v>82.36298132</v>
      </c>
      <c r="K49" s="30"/>
      <c r="L49" s="33">
        <f t="shared" si="3"/>
        <v>82.36298132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0.0" customHeight="1">
      <c r="A50" s="41">
        <v>44.0</v>
      </c>
      <c r="B50" s="30" t="s">
        <v>121</v>
      </c>
      <c r="C50" s="30"/>
      <c r="D50" s="30" t="s">
        <v>94</v>
      </c>
      <c r="E50" s="31">
        <v>45324.0</v>
      </c>
      <c r="F50" s="31"/>
      <c r="G50" s="52">
        <v>10.508448571641509</v>
      </c>
      <c r="H50" s="32"/>
      <c r="I50" s="33">
        <f t="shared" si="1"/>
        <v>0.08722012314</v>
      </c>
      <c r="J50" s="33">
        <f t="shared" si="2"/>
        <v>10.59566869</v>
      </c>
      <c r="K50" s="30"/>
      <c r="L50" s="33">
        <f t="shared" si="3"/>
        <v>10.59566869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0.0" customHeight="1">
      <c r="A51" s="41">
        <v>45.0</v>
      </c>
      <c r="B51" s="30" t="s">
        <v>124</v>
      </c>
      <c r="C51" s="30"/>
      <c r="D51" s="30" t="s">
        <v>94</v>
      </c>
      <c r="E51" s="31">
        <v>45332.0</v>
      </c>
      <c r="F51" s="31"/>
      <c r="G51" s="52">
        <v>30.59144857164151</v>
      </c>
      <c r="H51" s="32">
        <v>10.0</v>
      </c>
      <c r="I51" s="33">
        <f t="shared" si="1"/>
        <v>0.2539090231</v>
      </c>
      <c r="J51" s="33">
        <f t="shared" si="2"/>
        <v>40.84535759</v>
      </c>
      <c r="K51" s="30"/>
      <c r="L51" s="33">
        <f t="shared" si="3"/>
        <v>40.84535759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0.0" customHeight="1">
      <c r="A52" s="41">
        <v>46.0</v>
      </c>
      <c r="B52" s="13" t="s">
        <v>125</v>
      </c>
      <c r="C52" s="13"/>
      <c r="D52" s="30" t="s">
        <v>94</v>
      </c>
      <c r="E52" s="14">
        <v>45423.0</v>
      </c>
      <c r="F52" s="14"/>
      <c r="G52" s="53">
        <v>103.02193378148878</v>
      </c>
      <c r="H52" s="32"/>
      <c r="I52" s="33">
        <f t="shared" si="1"/>
        <v>0.8550820504</v>
      </c>
      <c r="J52" s="33">
        <f t="shared" si="2"/>
        <v>103.8770158</v>
      </c>
      <c r="K52" s="13"/>
      <c r="L52" s="33">
        <f t="shared" si="3"/>
        <v>103.8770158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0.0" customHeight="1">
      <c r="A53" s="41">
        <v>47.0</v>
      </c>
      <c r="B53" s="54" t="s">
        <v>126</v>
      </c>
      <c r="C53" s="13"/>
      <c r="D53" s="30" t="s">
        <v>94</v>
      </c>
      <c r="E53" s="14">
        <v>45420.0</v>
      </c>
      <c r="F53" s="14"/>
      <c r="G53" s="53">
        <v>238.04695698780344</v>
      </c>
      <c r="H53" s="32">
        <v>10.0</v>
      </c>
      <c r="I53" s="33">
        <f t="shared" si="1"/>
        <v>1.975789743</v>
      </c>
      <c r="J53" s="33">
        <f t="shared" si="2"/>
        <v>250.0227467</v>
      </c>
      <c r="K53" s="13"/>
      <c r="L53" s="33">
        <f t="shared" si="3"/>
        <v>250.0227467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0.0" customHeight="1">
      <c r="A54" s="41">
        <v>48.0</v>
      </c>
      <c r="B54" s="13" t="s">
        <v>127</v>
      </c>
      <c r="C54" s="13"/>
      <c r="D54" s="30" t="s">
        <v>94</v>
      </c>
      <c r="E54" s="14">
        <v>45420.0</v>
      </c>
      <c r="F54" s="14"/>
      <c r="G54" s="53">
        <v>41.346037668511016</v>
      </c>
      <c r="H54" s="32"/>
      <c r="I54" s="33">
        <f t="shared" si="1"/>
        <v>0.3431721126</v>
      </c>
      <c r="J54" s="33">
        <f t="shared" si="2"/>
        <v>41.68920978</v>
      </c>
      <c r="K54" s="13"/>
      <c r="L54" s="33">
        <f t="shared" si="3"/>
        <v>41.68920978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0.0" customHeight="1">
      <c r="A55" s="41">
        <v>49.0</v>
      </c>
      <c r="B55" s="13" t="s">
        <v>128</v>
      </c>
      <c r="C55" s="13"/>
      <c r="D55" s="30" t="s">
        <v>94</v>
      </c>
      <c r="E55" s="14">
        <v>45414.0</v>
      </c>
      <c r="F55" s="14"/>
      <c r="G55" s="53">
        <v>61.258864053193825</v>
      </c>
      <c r="H55" s="32">
        <v>10.0</v>
      </c>
      <c r="I55" s="33">
        <f t="shared" si="1"/>
        <v>0.5084485716</v>
      </c>
      <c r="J55" s="33">
        <f t="shared" si="2"/>
        <v>71.76731262</v>
      </c>
      <c r="K55" s="13"/>
      <c r="L55" s="33">
        <f t="shared" si="3"/>
        <v>71.76731262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0.0" customHeight="1">
      <c r="A56" s="41">
        <v>50.0</v>
      </c>
      <c r="B56" s="13" t="s">
        <v>129</v>
      </c>
      <c r="C56" s="13"/>
      <c r="D56" s="30" t="s">
        <v>94</v>
      </c>
      <c r="E56" s="14">
        <v>45545.0</v>
      </c>
      <c r="F56" s="14" t="s">
        <v>101</v>
      </c>
      <c r="G56" s="53">
        <v>1043.2579227446693</v>
      </c>
      <c r="H56" s="32">
        <v>10.0</v>
      </c>
      <c r="I56" s="33">
        <f t="shared" si="1"/>
        <v>8.659040759</v>
      </c>
      <c r="J56" s="33">
        <f t="shared" si="2"/>
        <v>1061.916964</v>
      </c>
      <c r="K56" s="13"/>
      <c r="L56" s="33">
        <f t="shared" si="3"/>
        <v>1061.916964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0.0" customHeight="1">
      <c r="A57" s="41">
        <v>50.0</v>
      </c>
      <c r="B57" s="13" t="s">
        <v>132</v>
      </c>
      <c r="C57" s="13"/>
      <c r="D57" s="30" t="s">
        <v>94</v>
      </c>
      <c r="E57" s="14">
        <v>45420.0</v>
      </c>
      <c r="F57" s="14"/>
      <c r="G57" s="53">
        <v>15.419150577339158</v>
      </c>
      <c r="H57" s="32"/>
      <c r="I57" s="33">
        <f t="shared" si="1"/>
        <v>0.1279789498</v>
      </c>
      <c r="J57" s="33">
        <f t="shared" si="2"/>
        <v>15.54712953</v>
      </c>
      <c r="K57" s="13"/>
      <c r="L57" s="33">
        <f t="shared" si="3"/>
        <v>15.54712953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30.0" customHeight="1">
      <c r="A58" s="41">
        <v>51.0</v>
      </c>
      <c r="B58" s="13" t="s">
        <v>133</v>
      </c>
      <c r="C58" s="13"/>
      <c r="D58" s="30" t="s">
        <v>94</v>
      </c>
      <c r="E58" s="58">
        <v>45541.0</v>
      </c>
      <c r="F58" s="14"/>
      <c r="G58" s="59">
        <v>132.17459659148665</v>
      </c>
      <c r="H58" s="32">
        <v>30.0</v>
      </c>
      <c r="I58" s="33">
        <f t="shared" si="1"/>
        <v>1.097049152</v>
      </c>
      <c r="J58" s="33">
        <f t="shared" si="2"/>
        <v>163.2716457</v>
      </c>
      <c r="K58" s="13"/>
      <c r="L58" s="33">
        <f t="shared" si="3"/>
        <v>163.2716457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30.0" customHeight="1">
      <c r="A59" s="41">
        <v>52.0</v>
      </c>
      <c r="B59" s="30" t="s">
        <v>134</v>
      </c>
      <c r="C59" s="13"/>
      <c r="D59" s="30" t="s">
        <v>94</v>
      </c>
      <c r="E59" s="14">
        <v>45390.0</v>
      </c>
      <c r="F59" s="14" t="s">
        <v>131</v>
      </c>
      <c r="G59" s="53">
        <v>20.58722873680832</v>
      </c>
      <c r="H59" s="32"/>
      <c r="I59" s="33">
        <f t="shared" si="1"/>
        <v>0.1708739985</v>
      </c>
      <c r="J59" s="33">
        <f t="shared" si="2"/>
        <v>20.75810274</v>
      </c>
      <c r="K59" s="13"/>
      <c r="L59" s="33">
        <f t="shared" si="3"/>
        <v>20.75810274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0.0" customHeight="1">
      <c r="A60" s="41">
        <v>53.0</v>
      </c>
      <c r="B60" s="13" t="s">
        <v>135</v>
      </c>
      <c r="C60" s="13"/>
      <c r="D60" s="30" t="s">
        <v>94</v>
      </c>
      <c r="E60" s="14">
        <v>45390.0</v>
      </c>
      <c r="F60" s="14" t="s">
        <v>131</v>
      </c>
      <c r="G60" s="53">
        <v>60.75322873680832</v>
      </c>
      <c r="H60" s="32">
        <v>20.0</v>
      </c>
      <c r="I60" s="33">
        <f t="shared" si="1"/>
        <v>0.5042517985</v>
      </c>
      <c r="J60" s="33">
        <f t="shared" si="2"/>
        <v>81.25748054</v>
      </c>
      <c r="K60" s="13"/>
      <c r="L60" s="33">
        <f t="shared" si="3"/>
        <v>81.25748054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30.0" customHeight="1">
      <c r="A61" s="41">
        <v>54.0</v>
      </c>
      <c r="B61" s="13" t="s">
        <v>136</v>
      </c>
      <c r="C61" s="13"/>
      <c r="D61" s="30" t="s">
        <v>94</v>
      </c>
      <c r="E61" s="14">
        <v>45390.0</v>
      </c>
      <c r="F61" s="14" t="s">
        <v>131</v>
      </c>
      <c r="G61" s="53">
        <v>20.58722873680832</v>
      </c>
      <c r="H61" s="32"/>
      <c r="I61" s="33">
        <f t="shared" si="1"/>
        <v>0.1708739985</v>
      </c>
      <c r="J61" s="33">
        <f t="shared" si="2"/>
        <v>20.75810274</v>
      </c>
      <c r="K61" s="13"/>
      <c r="L61" s="33">
        <f t="shared" si="3"/>
        <v>20.75810274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0.0" customHeight="1">
      <c r="A62" s="41">
        <v>55.0</v>
      </c>
      <c r="B62" s="13" t="s">
        <v>138</v>
      </c>
      <c r="C62" s="13"/>
      <c r="D62" s="30" t="s">
        <v>94</v>
      </c>
      <c r="E62" s="14">
        <v>45420.0</v>
      </c>
      <c r="F62" s="14"/>
      <c r="G62" s="53">
        <v>10.25107241787</v>
      </c>
      <c r="H62" s="32"/>
      <c r="I62" s="33">
        <f t="shared" si="1"/>
        <v>0.08508390107</v>
      </c>
      <c r="J62" s="33">
        <f t="shared" si="2"/>
        <v>10.33615632</v>
      </c>
      <c r="K62" s="13"/>
      <c r="L62" s="33">
        <f t="shared" si="3"/>
        <v>10.33615632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30.0" customHeight="1">
      <c r="A63" s="41">
        <v>56.0</v>
      </c>
      <c r="B63" s="13" t="s">
        <v>142</v>
      </c>
      <c r="C63" s="13"/>
      <c r="D63" s="30" t="s">
        <v>94</v>
      </c>
      <c r="E63" s="14"/>
      <c r="F63" s="14"/>
      <c r="G63" s="53">
        <v>5.0</v>
      </c>
      <c r="H63" s="32">
        <v>10.0</v>
      </c>
      <c r="I63" s="33">
        <f t="shared" si="1"/>
        <v>0.0415</v>
      </c>
      <c r="J63" s="33">
        <f t="shared" si="2"/>
        <v>15.0415</v>
      </c>
      <c r="K63" s="13"/>
      <c r="L63" s="33">
        <f t="shared" si="3"/>
        <v>15.0415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30.0" customHeight="1">
      <c r="A64" s="41"/>
      <c r="B64" s="13"/>
      <c r="C64" s="13"/>
      <c r="D64" s="30"/>
      <c r="E64" s="14"/>
      <c r="F64" s="14"/>
      <c r="G64" s="53"/>
      <c r="H64" s="32"/>
      <c r="I64" s="16"/>
      <c r="J64" s="33"/>
      <c r="K64" s="13"/>
      <c r="L64" s="3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30.0" customHeight="1">
      <c r="A65" s="41"/>
      <c r="B65" s="13"/>
      <c r="C65" s="13"/>
      <c r="D65" s="30"/>
      <c r="E65" s="14"/>
      <c r="F65" s="14"/>
      <c r="G65" s="53"/>
      <c r="H65" s="32"/>
      <c r="I65" s="16"/>
      <c r="J65" s="33"/>
      <c r="K65" s="13"/>
      <c r="L65" s="3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30.0" customHeight="1">
      <c r="A66" s="41"/>
      <c r="B66" s="13"/>
      <c r="C66" s="13"/>
      <c r="D66" s="30"/>
      <c r="E66" s="14"/>
      <c r="F66" s="14"/>
      <c r="G66" s="53"/>
      <c r="H66" s="32"/>
      <c r="I66" s="16"/>
      <c r="J66" s="33"/>
      <c r="K66" s="13"/>
      <c r="L66" s="3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30.0" customHeight="1">
      <c r="A67" s="41"/>
      <c r="B67" s="13"/>
      <c r="C67" s="13"/>
      <c r="D67" s="30"/>
      <c r="E67" s="14"/>
      <c r="F67" s="14"/>
      <c r="G67" s="53"/>
      <c r="H67" s="32"/>
      <c r="I67" s="16"/>
      <c r="J67" s="33"/>
      <c r="K67" s="13"/>
      <c r="L67" s="3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30.0" customHeight="1">
      <c r="A68" s="41"/>
      <c r="B68" s="13"/>
      <c r="C68" s="13"/>
      <c r="D68" s="30"/>
      <c r="E68" s="14"/>
      <c r="F68" s="14"/>
      <c r="G68" s="53"/>
      <c r="H68" s="32"/>
      <c r="I68" s="16"/>
      <c r="J68" s="33"/>
      <c r="K68" s="13"/>
      <c r="L68" s="3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0" customHeight="1">
      <c r="A69" s="17"/>
      <c r="B69" s="13"/>
      <c r="C69" s="13"/>
      <c r="D69" s="13"/>
      <c r="E69" s="13"/>
      <c r="F69" s="13"/>
      <c r="G69" s="55">
        <f>SUM(G7:G59)</f>
        <v>50195.73125</v>
      </c>
      <c r="H69" s="18">
        <f>SUM(H7:H68)</f>
        <v>583.84</v>
      </c>
      <c r="I69" s="18">
        <f>SUM(I7:I57)</f>
        <v>415.3566462</v>
      </c>
      <c r="J69" s="18">
        <f>SUM(J7:J59)</f>
        <v>51166.19582</v>
      </c>
      <c r="K69" s="18">
        <f>SUM(K7:K55)</f>
        <v>0</v>
      </c>
      <c r="L69" s="18">
        <f>SUM(L7:L59)</f>
        <v>51166.19582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2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51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10.29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145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45422.0</v>
      </c>
      <c r="F7" s="31"/>
      <c r="G7" s="52">
        <v>4629.781893262662</v>
      </c>
      <c r="H7" s="32"/>
      <c r="I7" s="33">
        <f t="shared" ref="I7:I64" si="1">G7*0.83%</f>
        <v>38.42718971</v>
      </c>
      <c r="J7" s="33">
        <f t="shared" ref="J7:J64" si="2">G7+H7+I7</f>
        <v>4668.209083</v>
      </c>
      <c r="K7" s="30"/>
      <c r="L7" s="33">
        <f t="shared" ref="L7:L64" si="3">J7-K7</f>
        <v>4668.209083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45422.0</v>
      </c>
      <c r="F8" s="31"/>
      <c r="G8" s="52">
        <v>7678.9662751282685</v>
      </c>
      <c r="H8" s="32">
        <v>50.0</v>
      </c>
      <c r="I8" s="33">
        <f t="shared" si="1"/>
        <v>63.73542008</v>
      </c>
      <c r="J8" s="33">
        <f t="shared" si="2"/>
        <v>7792.701695</v>
      </c>
      <c r="K8" s="30"/>
      <c r="L8" s="33">
        <f t="shared" si="3"/>
        <v>7792.701695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45423.0</v>
      </c>
      <c r="F9" s="31"/>
      <c r="G9" s="52">
        <v>7588.741306039805</v>
      </c>
      <c r="H9" s="32"/>
      <c r="I9" s="33">
        <f t="shared" si="1"/>
        <v>62.98655284</v>
      </c>
      <c r="J9" s="33">
        <f t="shared" si="2"/>
        <v>7651.727859</v>
      </c>
      <c r="K9" s="30"/>
      <c r="L9" s="33">
        <f t="shared" si="3"/>
        <v>7651.727859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52">
        <v>3102.158498149746</v>
      </c>
      <c r="H10" s="32"/>
      <c r="I10" s="32">
        <f t="shared" si="1"/>
        <v>25.74791553</v>
      </c>
      <c r="J10" s="32">
        <f t="shared" si="2"/>
        <v>3127.906414</v>
      </c>
      <c r="K10" s="34"/>
      <c r="L10" s="32">
        <f t="shared" si="3"/>
        <v>3127.906414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45239.0</v>
      </c>
      <c r="F11" s="35"/>
      <c r="G11" s="52">
        <v>517.1361653908045</v>
      </c>
      <c r="H11" s="32"/>
      <c r="I11" s="32">
        <f t="shared" si="1"/>
        <v>4.292230173</v>
      </c>
      <c r="J11" s="32">
        <f t="shared" si="2"/>
        <v>521.4283956</v>
      </c>
      <c r="K11" s="34"/>
      <c r="L11" s="32">
        <f t="shared" si="3"/>
        <v>521.4283956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45383.0</v>
      </c>
      <c r="F12" s="35"/>
      <c r="G12" s="52">
        <v>289.74908729712996</v>
      </c>
      <c r="H12" s="32">
        <v>25.0</v>
      </c>
      <c r="I12" s="32">
        <f t="shared" si="1"/>
        <v>2.404917425</v>
      </c>
      <c r="J12" s="32">
        <f t="shared" si="2"/>
        <v>317.1540047</v>
      </c>
      <c r="K12" s="34"/>
      <c r="L12" s="32">
        <f t="shared" si="3"/>
        <v>317.1540047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45422.0</v>
      </c>
      <c r="F13" s="31"/>
      <c r="G13" s="52">
        <v>7323.719653024216</v>
      </c>
      <c r="H13" s="32">
        <v>77.16</v>
      </c>
      <c r="I13" s="33">
        <f t="shared" si="1"/>
        <v>60.78687312</v>
      </c>
      <c r="J13" s="33">
        <f t="shared" si="2"/>
        <v>7461.666526</v>
      </c>
      <c r="K13" s="30"/>
      <c r="L13" s="33">
        <f t="shared" si="3"/>
        <v>7461.666526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24">
        <v>8.0</v>
      </c>
      <c r="B14" s="36" t="s">
        <v>48</v>
      </c>
      <c r="C14" s="36" t="s">
        <v>91</v>
      </c>
      <c r="D14" s="36" t="s">
        <v>92</v>
      </c>
      <c r="E14" s="37">
        <v>45572.0</v>
      </c>
      <c r="F14" s="37"/>
      <c r="G14" s="60">
        <v>3583.0392420067915</v>
      </c>
      <c r="H14" s="38">
        <v>50.0</v>
      </c>
      <c r="I14" s="38">
        <f t="shared" si="1"/>
        <v>29.73922571</v>
      </c>
      <c r="J14" s="38">
        <f t="shared" si="2"/>
        <v>3662.778468</v>
      </c>
      <c r="K14" s="36"/>
      <c r="L14" s="38">
        <f t="shared" si="3"/>
        <v>3662.778468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24">
        <v>9.0</v>
      </c>
      <c r="B15" s="36" t="s">
        <v>146</v>
      </c>
      <c r="C15" s="36" t="s">
        <v>91</v>
      </c>
      <c r="D15" s="36" t="s">
        <v>94</v>
      </c>
      <c r="E15" s="37">
        <v>45414.0</v>
      </c>
      <c r="F15" s="37"/>
      <c r="G15" s="60">
        <v>3583.0392420067915</v>
      </c>
      <c r="H15" s="38">
        <v>20.0</v>
      </c>
      <c r="I15" s="38">
        <f t="shared" si="1"/>
        <v>29.73922571</v>
      </c>
      <c r="J15" s="38">
        <f t="shared" si="2"/>
        <v>3632.778468</v>
      </c>
      <c r="K15" s="36"/>
      <c r="L15" s="38">
        <f t="shared" si="3"/>
        <v>3632.778468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9.0</v>
      </c>
      <c r="B16" s="30" t="s">
        <v>49</v>
      </c>
      <c r="C16" s="30" t="s">
        <v>91</v>
      </c>
      <c r="D16" s="30" t="s">
        <v>94</v>
      </c>
      <c r="E16" s="31">
        <v>45418.0</v>
      </c>
      <c r="F16" s="31" t="s">
        <v>38</v>
      </c>
      <c r="G16" s="52">
        <v>134.17555651170815</v>
      </c>
      <c r="H16" s="32">
        <v>10.0</v>
      </c>
      <c r="I16" s="33">
        <f t="shared" si="1"/>
        <v>1.113657119</v>
      </c>
      <c r="J16" s="33">
        <f t="shared" si="2"/>
        <v>145.2892136</v>
      </c>
      <c r="K16" s="30"/>
      <c r="L16" s="33">
        <f t="shared" si="3"/>
        <v>145.2892136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10.0</v>
      </c>
      <c r="B17" s="30" t="s">
        <v>58</v>
      </c>
      <c r="C17" s="30" t="s">
        <v>93</v>
      </c>
      <c r="D17" s="30" t="s">
        <v>94</v>
      </c>
      <c r="E17" s="31">
        <v>45383.0</v>
      </c>
      <c r="F17" s="31" t="s">
        <v>39</v>
      </c>
      <c r="G17" s="52">
        <v>326.07669323154033</v>
      </c>
      <c r="H17" s="32">
        <v>20.0</v>
      </c>
      <c r="I17" s="33">
        <f t="shared" si="1"/>
        <v>2.706436554</v>
      </c>
      <c r="J17" s="33">
        <f t="shared" si="2"/>
        <v>348.7831298</v>
      </c>
      <c r="K17" s="30"/>
      <c r="L17" s="33">
        <f t="shared" si="3"/>
        <v>348.7831298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11.0</v>
      </c>
      <c r="B18" s="30" t="s">
        <v>51</v>
      </c>
      <c r="C18" s="30" t="s">
        <v>91</v>
      </c>
      <c r="D18" s="30" t="s">
        <v>94</v>
      </c>
      <c r="E18" s="31">
        <v>45294.0</v>
      </c>
      <c r="F18" s="31" t="s">
        <v>34</v>
      </c>
      <c r="G18" s="52">
        <v>110.25541783138642</v>
      </c>
      <c r="H18" s="32"/>
      <c r="I18" s="33">
        <f t="shared" si="1"/>
        <v>0.915119968</v>
      </c>
      <c r="J18" s="33">
        <f t="shared" si="2"/>
        <v>111.1705378</v>
      </c>
      <c r="K18" s="30"/>
      <c r="L18" s="33">
        <f t="shared" si="3"/>
        <v>111.1705378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12.0</v>
      </c>
      <c r="B19" s="30" t="s">
        <v>52</v>
      </c>
      <c r="C19" s="30" t="s">
        <v>91</v>
      </c>
      <c r="D19" s="30" t="s">
        <v>94</v>
      </c>
      <c r="E19" s="31">
        <v>45029.0</v>
      </c>
      <c r="F19" s="31" t="s">
        <v>38</v>
      </c>
      <c r="G19" s="52">
        <v>87.27439062663755</v>
      </c>
      <c r="H19" s="32"/>
      <c r="I19" s="33">
        <f t="shared" si="1"/>
        <v>0.7243774422</v>
      </c>
      <c r="J19" s="33">
        <f t="shared" si="2"/>
        <v>87.99876807</v>
      </c>
      <c r="K19" s="30"/>
      <c r="L19" s="33">
        <f t="shared" si="3"/>
        <v>87.99876807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4.75" customHeight="1">
      <c r="A20" s="41">
        <v>13.0</v>
      </c>
      <c r="B20" s="30" t="s">
        <v>72</v>
      </c>
      <c r="C20" s="30" t="s">
        <v>91</v>
      </c>
      <c r="D20" s="30" t="s">
        <v>94</v>
      </c>
      <c r="E20" s="31">
        <v>45387.0</v>
      </c>
      <c r="F20" s="31" t="s">
        <v>38</v>
      </c>
      <c r="G20" s="52">
        <v>239.1724153179181</v>
      </c>
      <c r="H20" s="32"/>
      <c r="I20" s="33">
        <f t="shared" si="1"/>
        <v>1.985131047</v>
      </c>
      <c r="J20" s="33">
        <f t="shared" si="2"/>
        <v>241.1575464</v>
      </c>
      <c r="K20" s="30"/>
      <c r="L20" s="33">
        <f t="shared" si="3"/>
        <v>241.1575464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7.75" customHeight="1">
      <c r="A21" s="41">
        <v>14.0</v>
      </c>
      <c r="B21" s="34" t="s">
        <v>54</v>
      </c>
      <c r="C21" s="34" t="s">
        <v>91</v>
      </c>
      <c r="D21" s="30" t="s">
        <v>94</v>
      </c>
      <c r="E21" s="35">
        <v>45414.0</v>
      </c>
      <c r="F21" s="35" t="s">
        <v>34</v>
      </c>
      <c r="G21" s="52">
        <v>1722.2797900190023</v>
      </c>
      <c r="H21" s="32"/>
      <c r="I21" s="32">
        <f t="shared" si="1"/>
        <v>14.29492226</v>
      </c>
      <c r="J21" s="32">
        <f t="shared" si="2"/>
        <v>1736.574712</v>
      </c>
      <c r="K21" s="34"/>
      <c r="L21" s="32">
        <f t="shared" si="3"/>
        <v>1736.574712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15.0</v>
      </c>
      <c r="B22" s="30" t="s">
        <v>55</v>
      </c>
      <c r="C22" s="30" t="s">
        <v>91</v>
      </c>
      <c r="D22" s="30" t="s">
        <v>94</v>
      </c>
      <c r="E22" s="31">
        <v>45386.0</v>
      </c>
      <c r="F22" s="31" t="s">
        <v>33</v>
      </c>
      <c r="G22" s="52">
        <v>184.7153149228814</v>
      </c>
      <c r="H22" s="32">
        <v>40.0</v>
      </c>
      <c r="I22" s="33">
        <f t="shared" si="1"/>
        <v>1.533137114</v>
      </c>
      <c r="J22" s="33">
        <f t="shared" si="2"/>
        <v>226.248452</v>
      </c>
      <c r="K22" s="30"/>
      <c r="L22" s="33">
        <f t="shared" si="3"/>
        <v>226.248452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16.0</v>
      </c>
      <c r="B23" s="30" t="s">
        <v>40</v>
      </c>
      <c r="C23" s="30" t="s">
        <v>91</v>
      </c>
      <c r="D23" s="30" t="s">
        <v>94</v>
      </c>
      <c r="E23" s="31">
        <v>45415.0</v>
      </c>
      <c r="F23" s="31" t="s">
        <v>38</v>
      </c>
      <c r="G23" s="52">
        <v>1862.556460037653</v>
      </c>
      <c r="H23" s="32">
        <v>50.0</v>
      </c>
      <c r="I23" s="33">
        <f t="shared" si="1"/>
        <v>15.45921862</v>
      </c>
      <c r="J23" s="33">
        <f t="shared" si="2"/>
        <v>1928.015679</v>
      </c>
      <c r="K23" s="30"/>
      <c r="L23" s="33">
        <f t="shared" si="3"/>
        <v>1928.015679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17.0</v>
      </c>
      <c r="B24" s="34" t="s">
        <v>41</v>
      </c>
      <c r="C24" s="34" t="s">
        <v>91</v>
      </c>
      <c r="D24" s="30" t="s">
        <v>94</v>
      </c>
      <c r="E24" s="35">
        <v>45414.0</v>
      </c>
      <c r="F24" s="35" t="s">
        <v>34</v>
      </c>
      <c r="G24" s="52">
        <v>296.08355430893903</v>
      </c>
      <c r="H24" s="39"/>
      <c r="I24" s="32">
        <f t="shared" si="1"/>
        <v>2.457493501</v>
      </c>
      <c r="J24" s="32">
        <f t="shared" si="2"/>
        <v>298.5410478</v>
      </c>
      <c r="K24" s="34"/>
      <c r="L24" s="32">
        <f t="shared" si="3"/>
        <v>298.5410478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18.0</v>
      </c>
      <c r="B25" s="30" t="s">
        <v>95</v>
      </c>
      <c r="C25" s="30" t="s">
        <v>93</v>
      </c>
      <c r="D25" s="30" t="s">
        <v>94</v>
      </c>
      <c r="E25" s="31">
        <v>45427.0</v>
      </c>
      <c r="F25" s="31" t="s">
        <v>39</v>
      </c>
      <c r="G25" s="52">
        <v>638.2956114279631</v>
      </c>
      <c r="H25" s="39">
        <v>10.0</v>
      </c>
      <c r="I25" s="33">
        <f t="shared" si="1"/>
        <v>5.297853575</v>
      </c>
      <c r="J25" s="33">
        <f t="shared" si="2"/>
        <v>653.593465</v>
      </c>
      <c r="K25" s="30"/>
      <c r="L25" s="33">
        <f t="shared" si="3"/>
        <v>653.593465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41">
        <v>19.0</v>
      </c>
      <c r="B26" s="30" t="s">
        <v>96</v>
      </c>
      <c r="C26" s="30" t="s">
        <v>91</v>
      </c>
      <c r="D26" s="30" t="s">
        <v>94</v>
      </c>
      <c r="E26" s="31">
        <v>45388.0</v>
      </c>
      <c r="F26" s="31" t="s">
        <v>33</v>
      </c>
      <c r="G26" s="52">
        <v>241.7840167543356</v>
      </c>
      <c r="H26" s="39">
        <v>10.0</v>
      </c>
      <c r="I26" s="33">
        <f t="shared" si="1"/>
        <v>2.006807339</v>
      </c>
      <c r="J26" s="33">
        <f t="shared" si="2"/>
        <v>253.7908241</v>
      </c>
      <c r="K26" s="30"/>
      <c r="L26" s="33">
        <f t="shared" si="3"/>
        <v>253.7908241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20.0</v>
      </c>
      <c r="B27" s="34" t="s">
        <v>97</v>
      </c>
      <c r="C27" s="30" t="s">
        <v>93</v>
      </c>
      <c r="D27" s="30" t="s">
        <v>94</v>
      </c>
      <c r="E27" s="31">
        <v>45386.0</v>
      </c>
      <c r="F27" s="31" t="s">
        <v>34</v>
      </c>
      <c r="G27" s="52">
        <v>81.75895817181146</v>
      </c>
      <c r="H27" s="39"/>
      <c r="I27" s="33">
        <f t="shared" si="1"/>
        <v>0.6785993528</v>
      </c>
      <c r="J27" s="33">
        <f t="shared" si="2"/>
        <v>82.43755752</v>
      </c>
      <c r="K27" s="30"/>
      <c r="L27" s="33">
        <f t="shared" si="3"/>
        <v>82.43755752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21.0</v>
      </c>
      <c r="B28" s="34" t="s">
        <v>98</v>
      </c>
      <c r="C28" s="34" t="s">
        <v>93</v>
      </c>
      <c r="D28" s="30" t="s">
        <v>94</v>
      </c>
      <c r="E28" s="35">
        <v>45140.0</v>
      </c>
      <c r="F28" s="35" t="s">
        <v>38</v>
      </c>
      <c r="G28" s="52">
        <v>120.01079905571191</v>
      </c>
      <c r="H28" s="39"/>
      <c r="I28" s="32">
        <f t="shared" si="1"/>
        <v>0.9960896322</v>
      </c>
      <c r="J28" s="32">
        <f t="shared" si="2"/>
        <v>121.0068887</v>
      </c>
      <c r="K28" s="34"/>
      <c r="L28" s="32">
        <f t="shared" si="3"/>
        <v>121.0068887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22.0</v>
      </c>
      <c r="B29" s="30" t="s">
        <v>61</v>
      </c>
      <c r="C29" s="30" t="s">
        <v>91</v>
      </c>
      <c r="D29" s="30" t="s">
        <v>94</v>
      </c>
      <c r="E29" s="31">
        <v>45235.0</v>
      </c>
      <c r="F29" s="31" t="s">
        <v>38</v>
      </c>
      <c r="G29" s="52">
        <v>141.2921109168357</v>
      </c>
      <c r="H29" s="39"/>
      <c r="I29" s="33">
        <f t="shared" si="1"/>
        <v>1.172724521</v>
      </c>
      <c r="J29" s="33">
        <f t="shared" si="2"/>
        <v>142.4648354</v>
      </c>
      <c r="K29" s="30"/>
      <c r="L29" s="33">
        <f t="shared" si="3"/>
        <v>142.4648354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23.0</v>
      </c>
      <c r="B30" s="30" t="s">
        <v>63</v>
      </c>
      <c r="C30" s="30" t="s">
        <v>91</v>
      </c>
      <c r="D30" s="30" t="s">
        <v>94</v>
      </c>
      <c r="E30" s="31">
        <v>45422.0</v>
      </c>
      <c r="F30" s="31" t="s">
        <v>39</v>
      </c>
      <c r="G30" s="52">
        <v>1018.5761045843662</v>
      </c>
      <c r="H30" s="39"/>
      <c r="I30" s="33">
        <f t="shared" si="1"/>
        <v>8.454181668</v>
      </c>
      <c r="J30" s="33">
        <f t="shared" si="2"/>
        <v>1027.030286</v>
      </c>
      <c r="K30" s="30"/>
      <c r="L30" s="33">
        <f t="shared" si="3"/>
        <v>1027.030286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24.0</v>
      </c>
      <c r="B31" s="34" t="s">
        <v>64</v>
      </c>
      <c r="C31" s="30" t="s">
        <v>91</v>
      </c>
      <c r="D31" s="30" t="s">
        <v>94</v>
      </c>
      <c r="E31" s="31">
        <v>45420.0</v>
      </c>
      <c r="F31" s="31" t="s">
        <v>40</v>
      </c>
      <c r="G31" s="52">
        <v>666.1198067063049</v>
      </c>
      <c r="H31" s="39"/>
      <c r="I31" s="33">
        <f t="shared" si="1"/>
        <v>5.528794396</v>
      </c>
      <c r="J31" s="33">
        <f t="shared" si="2"/>
        <v>671.6486011</v>
      </c>
      <c r="K31" s="30"/>
      <c r="L31" s="33">
        <f t="shared" si="3"/>
        <v>671.6486011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25.0</v>
      </c>
      <c r="B32" s="30" t="s">
        <v>65</v>
      </c>
      <c r="C32" s="30" t="s">
        <v>91</v>
      </c>
      <c r="D32" s="30" t="s">
        <v>94</v>
      </c>
      <c r="E32" s="31">
        <v>45383.0</v>
      </c>
      <c r="F32" s="31" t="s">
        <v>39</v>
      </c>
      <c r="G32" s="52">
        <v>43.75831124485085</v>
      </c>
      <c r="H32" s="39"/>
      <c r="I32" s="33">
        <f t="shared" si="1"/>
        <v>0.3631939833</v>
      </c>
      <c r="J32" s="33">
        <f t="shared" si="2"/>
        <v>44.12150523</v>
      </c>
      <c r="K32" s="30"/>
      <c r="L32" s="33">
        <f t="shared" si="3"/>
        <v>44.12150523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26.0</v>
      </c>
      <c r="B33" s="30" t="s">
        <v>66</v>
      </c>
      <c r="C33" s="30" t="s">
        <v>91</v>
      </c>
      <c r="D33" s="30" t="s">
        <v>94</v>
      </c>
      <c r="E33" s="31">
        <v>45209.0</v>
      </c>
      <c r="F33" s="31" t="s">
        <v>33</v>
      </c>
      <c r="G33" s="52">
        <v>67.09742076513292</v>
      </c>
      <c r="H33" s="39"/>
      <c r="I33" s="33">
        <f t="shared" si="1"/>
        <v>0.5569085924</v>
      </c>
      <c r="J33" s="33">
        <f t="shared" si="2"/>
        <v>67.65432936</v>
      </c>
      <c r="K33" s="30"/>
      <c r="L33" s="33">
        <f t="shared" si="3"/>
        <v>67.65432936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27.0</v>
      </c>
      <c r="B34" s="30" t="s">
        <v>99</v>
      </c>
      <c r="C34" s="30" t="s">
        <v>91</v>
      </c>
      <c r="D34" s="30" t="s">
        <v>94</v>
      </c>
      <c r="E34" s="31">
        <v>45085.0</v>
      </c>
      <c r="F34" s="31" t="s">
        <v>38</v>
      </c>
      <c r="G34" s="52">
        <v>226.39643767829602</v>
      </c>
      <c r="H34" s="39"/>
      <c r="I34" s="33">
        <f t="shared" si="1"/>
        <v>1.879090433</v>
      </c>
      <c r="J34" s="33">
        <f t="shared" si="2"/>
        <v>228.2755281</v>
      </c>
      <c r="K34" s="30"/>
      <c r="L34" s="33">
        <f t="shared" si="3"/>
        <v>228.2755281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28.0</v>
      </c>
      <c r="B35" s="30" t="s">
        <v>100</v>
      </c>
      <c r="C35" s="30" t="s">
        <v>93</v>
      </c>
      <c r="D35" s="30" t="s">
        <v>94</v>
      </c>
      <c r="E35" s="31">
        <v>45427.0</v>
      </c>
      <c r="F35" s="31" t="s">
        <v>39</v>
      </c>
      <c r="G35" s="52">
        <v>68.93905772464296</v>
      </c>
      <c r="H35" s="32"/>
      <c r="I35" s="33">
        <f t="shared" si="1"/>
        <v>0.5721941791</v>
      </c>
      <c r="J35" s="33">
        <f t="shared" si="2"/>
        <v>69.5112519</v>
      </c>
      <c r="K35" s="30"/>
      <c r="L35" s="33">
        <f t="shared" si="3"/>
        <v>69.5112519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29.0</v>
      </c>
      <c r="B36" s="30" t="s">
        <v>101</v>
      </c>
      <c r="C36" s="30" t="s">
        <v>93</v>
      </c>
      <c r="D36" s="30" t="s">
        <v>94</v>
      </c>
      <c r="E36" s="31">
        <v>45235.0</v>
      </c>
      <c r="F36" s="31"/>
      <c r="G36" s="52">
        <v>1087.5256936120095</v>
      </c>
      <c r="H36" s="32"/>
      <c r="I36" s="33">
        <f t="shared" si="1"/>
        <v>9.026463257</v>
      </c>
      <c r="J36" s="33">
        <f t="shared" si="2"/>
        <v>1096.552157</v>
      </c>
      <c r="K36" s="30"/>
      <c r="L36" s="33">
        <f t="shared" si="3"/>
        <v>1096.552157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24.75" customHeight="1">
      <c r="A37" s="41">
        <v>30.0</v>
      </c>
      <c r="B37" s="30" t="s">
        <v>102</v>
      </c>
      <c r="C37" s="30"/>
      <c r="D37" s="30" t="s">
        <v>94</v>
      </c>
      <c r="E37" s="31">
        <v>45235.0</v>
      </c>
      <c r="F37" s="31"/>
      <c r="G37" s="52">
        <v>16.33836628981024</v>
      </c>
      <c r="H37" s="32"/>
      <c r="I37" s="33">
        <f t="shared" si="1"/>
        <v>0.1356084402</v>
      </c>
      <c r="J37" s="33">
        <f t="shared" si="2"/>
        <v>16.47397473</v>
      </c>
      <c r="K37" s="30"/>
      <c r="L37" s="33">
        <f t="shared" si="3"/>
        <v>16.47397473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31.0</v>
      </c>
      <c r="B38" s="30" t="s">
        <v>104</v>
      </c>
      <c r="C38" s="30"/>
      <c r="D38" s="30" t="s">
        <v>94</v>
      </c>
      <c r="E38" s="31">
        <v>45416.0</v>
      </c>
      <c r="F38" s="31"/>
      <c r="G38" s="52">
        <v>157.30935796454838</v>
      </c>
      <c r="H38" s="32">
        <v>15.0</v>
      </c>
      <c r="I38" s="33">
        <f t="shared" si="1"/>
        <v>1.305667671</v>
      </c>
      <c r="J38" s="33">
        <f t="shared" si="2"/>
        <v>173.6150256</v>
      </c>
      <c r="K38" s="30"/>
      <c r="L38" s="33">
        <f t="shared" si="3"/>
        <v>173.6150256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32.0</v>
      </c>
      <c r="B39" s="30" t="s">
        <v>105</v>
      </c>
      <c r="C39" s="30"/>
      <c r="D39" s="30" t="s">
        <v>94</v>
      </c>
      <c r="E39" s="31">
        <v>45420.0</v>
      </c>
      <c r="F39" s="31"/>
      <c r="G39" s="52">
        <v>252.5430164956406</v>
      </c>
      <c r="H39" s="32"/>
      <c r="I39" s="33">
        <f t="shared" si="1"/>
        <v>2.096107037</v>
      </c>
      <c r="J39" s="33">
        <f t="shared" si="2"/>
        <v>254.6391235</v>
      </c>
      <c r="K39" s="30"/>
      <c r="L39" s="33">
        <f t="shared" si="3"/>
        <v>254.6391235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0.0" customHeight="1">
      <c r="A40" s="41">
        <v>33.0</v>
      </c>
      <c r="B40" s="30" t="s">
        <v>106</v>
      </c>
      <c r="C40" s="30"/>
      <c r="D40" s="30" t="s">
        <v>94</v>
      </c>
      <c r="E40" s="31">
        <v>45414.0</v>
      </c>
      <c r="F40" s="31"/>
      <c r="G40" s="52">
        <v>120.46469833134044</v>
      </c>
      <c r="H40" s="32">
        <v>10.0</v>
      </c>
      <c r="I40" s="33">
        <f t="shared" si="1"/>
        <v>0.9998569962</v>
      </c>
      <c r="J40" s="33">
        <f t="shared" si="2"/>
        <v>131.4645553</v>
      </c>
      <c r="K40" s="30"/>
      <c r="L40" s="33">
        <f t="shared" si="3"/>
        <v>131.4645553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0.0" customHeight="1">
      <c r="A41" s="41">
        <v>34.0</v>
      </c>
      <c r="B41" s="30" t="s">
        <v>107</v>
      </c>
      <c r="C41" s="30"/>
      <c r="D41" s="30" t="s">
        <v>94</v>
      </c>
      <c r="E41" s="31">
        <v>45414.0</v>
      </c>
      <c r="F41" s="31"/>
      <c r="G41" s="52">
        <v>211.95325180164932</v>
      </c>
      <c r="H41" s="32"/>
      <c r="I41" s="33">
        <f t="shared" si="1"/>
        <v>1.75921199</v>
      </c>
      <c r="J41" s="33">
        <f t="shared" si="2"/>
        <v>213.7124638</v>
      </c>
      <c r="K41" s="30"/>
      <c r="L41" s="33">
        <f t="shared" si="3"/>
        <v>213.7124638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0.0" customHeight="1">
      <c r="A42" s="41">
        <v>35.0</v>
      </c>
      <c r="B42" s="30" t="s">
        <v>108</v>
      </c>
      <c r="C42" s="30"/>
      <c r="D42" s="30" t="s">
        <v>94</v>
      </c>
      <c r="E42" s="31">
        <v>45330.0</v>
      </c>
      <c r="F42" s="31"/>
      <c r="G42" s="52">
        <v>58.99064988331009</v>
      </c>
      <c r="H42" s="32"/>
      <c r="I42" s="33">
        <f t="shared" si="1"/>
        <v>0.489622394</v>
      </c>
      <c r="J42" s="33">
        <f t="shared" si="2"/>
        <v>59.48027228</v>
      </c>
      <c r="K42" s="30"/>
      <c r="L42" s="33">
        <f t="shared" si="3"/>
        <v>59.48027228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0.0" customHeight="1">
      <c r="A43" s="41">
        <v>36.0</v>
      </c>
      <c r="B43" s="30" t="s">
        <v>109</v>
      </c>
      <c r="C43" s="30"/>
      <c r="D43" s="30" t="s">
        <v>94</v>
      </c>
      <c r="E43" s="31">
        <v>45333.0</v>
      </c>
      <c r="F43" s="31"/>
      <c r="G43" s="52">
        <v>180.79891380225428</v>
      </c>
      <c r="H43" s="32"/>
      <c r="I43" s="33">
        <f t="shared" si="1"/>
        <v>1.500630985</v>
      </c>
      <c r="J43" s="33">
        <f t="shared" si="2"/>
        <v>182.2995448</v>
      </c>
      <c r="K43" s="30"/>
      <c r="L43" s="33">
        <f t="shared" si="3"/>
        <v>182.2995448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0.0" customHeight="1">
      <c r="A44" s="41">
        <v>37.0</v>
      </c>
      <c r="B44" s="30" t="s">
        <v>110</v>
      </c>
      <c r="C44" s="30"/>
      <c r="D44" s="30" t="s">
        <v>94</v>
      </c>
      <c r="E44" s="31">
        <v>45418.0</v>
      </c>
      <c r="F44" s="31"/>
      <c r="G44" s="52">
        <v>171.99152872290054</v>
      </c>
      <c r="H44" s="32"/>
      <c r="I44" s="33">
        <f t="shared" si="1"/>
        <v>1.427529688</v>
      </c>
      <c r="J44" s="33">
        <f t="shared" si="2"/>
        <v>173.4190584</v>
      </c>
      <c r="K44" s="30"/>
      <c r="L44" s="33">
        <f t="shared" si="3"/>
        <v>173.4190584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0.0" customHeight="1">
      <c r="A45" s="41">
        <v>38.0</v>
      </c>
      <c r="B45" s="30" t="s">
        <v>111</v>
      </c>
      <c r="C45" s="30"/>
      <c r="D45" s="30" t="s">
        <v>94</v>
      </c>
      <c r="E45" s="31">
        <v>45333.0</v>
      </c>
      <c r="F45" s="31"/>
      <c r="G45" s="52">
        <v>54.41270611404005</v>
      </c>
      <c r="H45" s="32"/>
      <c r="I45" s="33">
        <f t="shared" si="1"/>
        <v>0.4516254607</v>
      </c>
      <c r="J45" s="33">
        <f t="shared" si="2"/>
        <v>54.86433157</v>
      </c>
      <c r="K45" s="30"/>
      <c r="L45" s="33">
        <f t="shared" si="3"/>
        <v>54.86433157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0.0" customHeight="1">
      <c r="A46" s="41">
        <v>39.0</v>
      </c>
      <c r="B46" s="30" t="s">
        <v>112</v>
      </c>
      <c r="C46" s="30"/>
      <c r="D46" s="30" t="s">
        <v>94</v>
      </c>
      <c r="E46" s="31">
        <v>45245.0</v>
      </c>
      <c r="F46" s="31"/>
      <c r="G46" s="52">
        <v>21.813545503900137</v>
      </c>
      <c r="H46" s="32"/>
      <c r="I46" s="33">
        <f t="shared" si="1"/>
        <v>0.1810524277</v>
      </c>
      <c r="J46" s="33">
        <f t="shared" si="2"/>
        <v>21.99459793</v>
      </c>
      <c r="K46" s="30"/>
      <c r="L46" s="33">
        <f t="shared" si="3"/>
        <v>21.99459793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0.0" customHeight="1">
      <c r="A47" s="41">
        <v>40.0</v>
      </c>
      <c r="B47" s="30" t="s">
        <v>116</v>
      </c>
      <c r="C47" s="30"/>
      <c r="D47" s="30" t="s">
        <v>94</v>
      </c>
      <c r="E47" s="31">
        <v>45293.0</v>
      </c>
      <c r="F47" s="31"/>
      <c r="G47" s="52">
        <v>10.683612744952857</v>
      </c>
      <c r="H47" s="32"/>
      <c r="I47" s="33">
        <f t="shared" si="1"/>
        <v>0.08867398578</v>
      </c>
      <c r="J47" s="33">
        <f t="shared" si="2"/>
        <v>10.77228673</v>
      </c>
      <c r="K47" s="30"/>
      <c r="L47" s="33">
        <f t="shared" si="3"/>
        <v>10.77228673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0.0" customHeight="1">
      <c r="A48" s="41">
        <v>41.0</v>
      </c>
      <c r="B48" s="30" t="s">
        <v>117</v>
      </c>
      <c r="C48" s="30"/>
      <c r="D48" s="30" t="s">
        <v>94</v>
      </c>
      <c r="E48" s="31">
        <v>45414.0</v>
      </c>
      <c r="F48" s="31"/>
      <c r="G48" s="52">
        <v>364.3995258228717</v>
      </c>
      <c r="H48" s="32">
        <v>50.0</v>
      </c>
      <c r="I48" s="33">
        <f t="shared" si="1"/>
        <v>3.024516064</v>
      </c>
      <c r="J48" s="33">
        <f t="shared" si="2"/>
        <v>417.4240419</v>
      </c>
      <c r="K48" s="30"/>
      <c r="L48" s="33">
        <f t="shared" si="3"/>
        <v>417.4240419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0.0" customHeight="1">
      <c r="A49" s="41">
        <v>42.0</v>
      </c>
      <c r="B49" s="30" t="s">
        <v>118</v>
      </c>
      <c r="C49" s="30"/>
      <c r="D49" s="30" t="s">
        <v>94</v>
      </c>
      <c r="E49" s="31">
        <v>45303.0</v>
      </c>
      <c r="F49" s="31"/>
      <c r="G49" s="52">
        <v>21.367225489905714</v>
      </c>
      <c r="H49" s="32"/>
      <c r="I49" s="33">
        <f t="shared" si="1"/>
        <v>0.1773479716</v>
      </c>
      <c r="J49" s="33">
        <f t="shared" si="2"/>
        <v>21.54457346</v>
      </c>
      <c r="K49" s="30"/>
      <c r="L49" s="33">
        <f t="shared" si="3"/>
        <v>21.54457346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0.0" customHeight="1">
      <c r="A50" s="41">
        <v>43.0</v>
      </c>
      <c r="B50" s="30" t="s">
        <v>120</v>
      </c>
      <c r="C50" s="30"/>
      <c r="D50" s="30" t="s">
        <v>94</v>
      </c>
      <c r="E50" s="31">
        <v>45419.0</v>
      </c>
      <c r="F50" s="31"/>
      <c r="G50" s="32">
        <v>82.36298131962147</v>
      </c>
      <c r="H50" s="32">
        <v>10.0</v>
      </c>
      <c r="I50" s="33">
        <f t="shared" si="1"/>
        <v>0.683612745</v>
      </c>
      <c r="J50" s="33">
        <f t="shared" si="2"/>
        <v>93.04659406</v>
      </c>
      <c r="K50" s="30"/>
      <c r="L50" s="33">
        <f t="shared" si="3"/>
        <v>93.04659406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0.0" customHeight="1">
      <c r="A51" s="41">
        <v>44.0</v>
      </c>
      <c r="B51" s="30" t="s">
        <v>121</v>
      </c>
      <c r="C51" s="30"/>
      <c r="D51" s="30" t="s">
        <v>94</v>
      </c>
      <c r="E51" s="31">
        <v>45324.0</v>
      </c>
      <c r="F51" s="31"/>
      <c r="G51" s="52">
        <v>10.595668694786132</v>
      </c>
      <c r="H51" s="32"/>
      <c r="I51" s="33">
        <f t="shared" si="1"/>
        <v>0.08794405017</v>
      </c>
      <c r="J51" s="33">
        <f t="shared" si="2"/>
        <v>10.68361274</v>
      </c>
      <c r="K51" s="30"/>
      <c r="L51" s="33">
        <f t="shared" si="3"/>
        <v>10.68361274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0.0" customHeight="1">
      <c r="A52" s="41">
        <v>45.0</v>
      </c>
      <c r="B52" s="30" t="s">
        <v>124</v>
      </c>
      <c r="C52" s="30"/>
      <c r="D52" s="30" t="s">
        <v>94</v>
      </c>
      <c r="E52" s="31">
        <v>45332.0</v>
      </c>
      <c r="F52" s="31"/>
      <c r="G52" s="52">
        <v>40.84535759478613</v>
      </c>
      <c r="H52" s="32">
        <v>10.0</v>
      </c>
      <c r="I52" s="33">
        <f t="shared" si="1"/>
        <v>0.339016468</v>
      </c>
      <c r="J52" s="33">
        <f t="shared" si="2"/>
        <v>51.18437406</v>
      </c>
      <c r="K52" s="30"/>
      <c r="L52" s="33">
        <f t="shared" si="3"/>
        <v>51.18437406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0.0" customHeight="1">
      <c r="A53" s="41">
        <v>46.0</v>
      </c>
      <c r="B53" s="13" t="s">
        <v>125</v>
      </c>
      <c r="C53" s="13"/>
      <c r="D53" s="30" t="s">
        <v>94</v>
      </c>
      <c r="E53" s="14">
        <v>45423.0</v>
      </c>
      <c r="F53" s="14"/>
      <c r="G53" s="53">
        <v>103.87701583187514</v>
      </c>
      <c r="H53" s="32"/>
      <c r="I53" s="33">
        <f t="shared" si="1"/>
        <v>0.8621792314</v>
      </c>
      <c r="J53" s="33">
        <f t="shared" si="2"/>
        <v>104.7391951</v>
      </c>
      <c r="K53" s="13"/>
      <c r="L53" s="33">
        <f t="shared" si="3"/>
        <v>104.7391951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0.0" customHeight="1">
      <c r="A54" s="41">
        <v>47.0</v>
      </c>
      <c r="B54" s="54" t="s">
        <v>126</v>
      </c>
      <c r="C54" s="13"/>
      <c r="D54" s="30" t="s">
        <v>94</v>
      </c>
      <c r="E54" s="14">
        <v>45420.0</v>
      </c>
      <c r="F54" s="14"/>
      <c r="G54" s="53">
        <v>250.0227467308022</v>
      </c>
      <c r="H54" s="32">
        <v>10.0</v>
      </c>
      <c r="I54" s="33">
        <f t="shared" si="1"/>
        <v>2.075188798</v>
      </c>
      <c r="J54" s="33">
        <f t="shared" si="2"/>
        <v>262.0979355</v>
      </c>
      <c r="K54" s="13"/>
      <c r="L54" s="33">
        <f t="shared" si="3"/>
        <v>262.0979355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0.0" customHeight="1">
      <c r="A55" s="41">
        <v>48.0</v>
      </c>
      <c r="B55" s="13" t="s">
        <v>127</v>
      </c>
      <c r="C55" s="13"/>
      <c r="D55" s="30" t="s">
        <v>94</v>
      </c>
      <c r="E55" s="14">
        <v>45420.0</v>
      </c>
      <c r="F55" s="14"/>
      <c r="G55" s="53">
        <v>41.689209781159654</v>
      </c>
      <c r="H55" s="32"/>
      <c r="I55" s="33">
        <f t="shared" si="1"/>
        <v>0.3460204412</v>
      </c>
      <c r="J55" s="33">
        <f t="shared" si="2"/>
        <v>42.03523022</v>
      </c>
      <c r="K55" s="13"/>
      <c r="L55" s="33">
        <f t="shared" si="3"/>
        <v>42.03523022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0.0" customHeight="1">
      <c r="A56" s="41">
        <v>49.0</v>
      </c>
      <c r="B56" s="13" t="s">
        <v>128</v>
      </c>
      <c r="C56" s="13"/>
      <c r="D56" s="30" t="s">
        <v>94</v>
      </c>
      <c r="E56" s="14">
        <v>45414.0</v>
      </c>
      <c r="F56" s="14"/>
      <c r="G56" s="53">
        <v>71.76731262483534</v>
      </c>
      <c r="H56" s="32">
        <v>10.0</v>
      </c>
      <c r="I56" s="33">
        <f t="shared" si="1"/>
        <v>0.5956686948</v>
      </c>
      <c r="J56" s="33">
        <f t="shared" si="2"/>
        <v>82.36298132</v>
      </c>
      <c r="K56" s="13"/>
      <c r="L56" s="33">
        <f t="shared" si="3"/>
        <v>82.36298132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0.0" customHeight="1">
      <c r="A57" s="41">
        <v>50.0</v>
      </c>
      <c r="B57" s="13" t="s">
        <v>129</v>
      </c>
      <c r="C57" s="13"/>
      <c r="D57" s="30" t="s">
        <v>94</v>
      </c>
      <c r="E57" s="14">
        <v>45423.0</v>
      </c>
      <c r="F57" s="14" t="s">
        <v>101</v>
      </c>
      <c r="G57" s="53">
        <v>1061.91696350345</v>
      </c>
      <c r="H57" s="32">
        <v>10.0</v>
      </c>
      <c r="I57" s="33">
        <f t="shared" si="1"/>
        <v>8.813910797</v>
      </c>
      <c r="J57" s="33">
        <f t="shared" si="2"/>
        <v>1080.730874</v>
      </c>
      <c r="K57" s="13"/>
      <c r="L57" s="33">
        <f t="shared" si="3"/>
        <v>1080.730874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30.0" customHeight="1">
      <c r="A58" s="41">
        <v>50.0</v>
      </c>
      <c r="B58" s="13" t="s">
        <v>132</v>
      </c>
      <c r="C58" s="13"/>
      <c r="D58" s="30" t="s">
        <v>94</v>
      </c>
      <c r="E58" s="14">
        <v>45420.0</v>
      </c>
      <c r="F58" s="14"/>
      <c r="G58" s="53">
        <v>15.547129527131073</v>
      </c>
      <c r="H58" s="32"/>
      <c r="I58" s="33">
        <f t="shared" si="1"/>
        <v>0.1290411751</v>
      </c>
      <c r="J58" s="33">
        <f t="shared" si="2"/>
        <v>15.6761707</v>
      </c>
      <c r="K58" s="13"/>
      <c r="L58" s="33">
        <f t="shared" si="3"/>
        <v>15.6761707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30.0" customHeight="1">
      <c r="A59" s="41">
        <v>51.0</v>
      </c>
      <c r="B59" s="13" t="s">
        <v>133</v>
      </c>
      <c r="C59" s="13"/>
      <c r="D59" s="30" t="s">
        <v>94</v>
      </c>
      <c r="E59" s="58">
        <v>45572.0</v>
      </c>
      <c r="F59" s="14"/>
      <c r="G59" s="59">
        <v>163.271645743196</v>
      </c>
      <c r="H59" s="32">
        <v>30.0</v>
      </c>
      <c r="I59" s="33">
        <f t="shared" si="1"/>
        <v>1.35515466</v>
      </c>
      <c r="J59" s="33">
        <f t="shared" si="2"/>
        <v>194.6268004</v>
      </c>
      <c r="K59" s="13"/>
      <c r="L59" s="33">
        <f t="shared" si="3"/>
        <v>194.6268004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0.0" customHeight="1">
      <c r="A60" s="41">
        <v>52.0</v>
      </c>
      <c r="B60" s="30" t="s">
        <v>134</v>
      </c>
      <c r="C60" s="13"/>
      <c r="D60" s="30" t="s">
        <v>94</v>
      </c>
      <c r="E60" s="14">
        <v>45390.0</v>
      </c>
      <c r="F60" s="14" t="s">
        <v>131</v>
      </c>
      <c r="G60" s="53">
        <v>20.75810273532383</v>
      </c>
      <c r="H60" s="32"/>
      <c r="I60" s="33">
        <f t="shared" si="1"/>
        <v>0.1722922527</v>
      </c>
      <c r="J60" s="33">
        <f t="shared" si="2"/>
        <v>20.93039499</v>
      </c>
      <c r="K60" s="13"/>
      <c r="L60" s="33">
        <f t="shared" si="3"/>
        <v>20.93039499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30.0" customHeight="1">
      <c r="A61" s="41">
        <v>53.0</v>
      </c>
      <c r="B61" s="13" t="s">
        <v>135</v>
      </c>
      <c r="C61" s="13"/>
      <c r="D61" s="30" t="s">
        <v>94</v>
      </c>
      <c r="E61" s="14">
        <v>45390.0</v>
      </c>
      <c r="F61" s="14" t="s">
        <v>131</v>
      </c>
      <c r="G61" s="53">
        <v>81.25748053532384</v>
      </c>
      <c r="H61" s="32">
        <v>20.0</v>
      </c>
      <c r="I61" s="33">
        <f t="shared" si="1"/>
        <v>0.6744370884</v>
      </c>
      <c r="J61" s="33">
        <f t="shared" si="2"/>
        <v>101.9319176</v>
      </c>
      <c r="K61" s="13"/>
      <c r="L61" s="33">
        <f t="shared" si="3"/>
        <v>101.9319176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0.0" customHeight="1">
      <c r="A62" s="41">
        <v>54.0</v>
      </c>
      <c r="B62" s="13" t="s">
        <v>136</v>
      </c>
      <c r="C62" s="13"/>
      <c r="D62" s="30" t="s">
        <v>94</v>
      </c>
      <c r="E62" s="14">
        <v>45390.0</v>
      </c>
      <c r="F62" s="14" t="s">
        <v>131</v>
      </c>
      <c r="G62" s="53">
        <v>20.75810273532383</v>
      </c>
      <c r="H62" s="32"/>
      <c r="I62" s="33">
        <f t="shared" si="1"/>
        <v>0.1722922527</v>
      </c>
      <c r="J62" s="33">
        <f t="shared" si="2"/>
        <v>20.93039499</v>
      </c>
      <c r="K62" s="13"/>
      <c r="L62" s="33">
        <f t="shared" si="3"/>
        <v>20.93039499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30.0" customHeight="1">
      <c r="A63" s="41">
        <v>55.0</v>
      </c>
      <c r="B63" s="13" t="s">
        <v>138</v>
      </c>
      <c r="C63" s="13"/>
      <c r="D63" s="30" t="s">
        <v>94</v>
      </c>
      <c r="E63" s="14">
        <v>45420.0</v>
      </c>
      <c r="F63" s="14"/>
      <c r="G63" s="53">
        <v>10.336156318938322</v>
      </c>
      <c r="H63" s="32"/>
      <c r="I63" s="33">
        <f t="shared" si="1"/>
        <v>0.08579009745</v>
      </c>
      <c r="J63" s="33">
        <f t="shared" si="2"/>
        <v>10.42194642</v>
      </c>
      <c r="K63" s="13"/>
      <c r="L63" s="33">
        <f t="shared" si="3"/>
        <v>10.42194642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30.0" customHeight="1">
      <c r="A64" s="41">
        <v>56.0</v>
      </c>
      <c r="B64" s="13" t="s">
        <v>142</v>
      </c>
      <c r="C64" s="13"/>
      <c r="D64" s="30" t="s">
        <v>94</v>
      </c>
      <c r="E64" s="14"/>
      <c r="F64" s="14"/>
      <c r="G64" s="53">
        <v>15.0415</v>
      </c>
      <c r="H64" s="32">
        <v>10.0</v>
      </c>
      <c r="I64" s="33">
        <f t="shared" si="1"/>
        <v>0.12484445</v>
      </c>
      <c r="J64" s="33">
        <f t="shared" si="2"/>
        <v>25.16634445</v>
      </c>
      <c r="K64" s="13"/>
      <c r="L64" s="33">
        <f t="shared" si="3"/>
        <v>25.16634445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30.0" customHeight="1">
      <c r="A65" s="41"/>
      <c r="B65" s="13"/>
      <c r="C65" s="13"/>
      <c r="D65" s="30"/>
      <c r="E65" s="14"/>
      <c r="F65" s="14"/>
      <c r="G65" s="53"/>
      <c r="H65" s="32"/>
      <c r="I65" s="16"/>
      <c r="J65" s="33"/>
      <c r="K65" s="13"/>
      <c r="L65" s="3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30.0" customHeight="1">
      <c r="A66" s="41"/>
      <c r="B66" s="13"/>
      <c r="C66" s="13"/>
      <c r="D66" s="30"/>
      <c r="E66" s="14"/>
      <c r="F66" s="14"/>
      <c r="G66" s="53"/>
      <c r="H66" s="32"/>
      <c r="I66" s="16"/>
      <c r="J66" s="33"/>
      <c r="K66" s="13"/>
      <c r="L66" s="3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30.0" customHeight="1">
      <c r="A67" s="41"/>
      <c r="B67" s="13"/>
      <c r="C67" s="13"/>
      <c r="D67" s="30"/>
      <c r="E67" s="14"/>
      <c r="F67" s="14"/>
      <c r="G67" s="53"/>
      <c r="H67" s="32"/>
      <c r="I67" s="16"/>
      <c r="J67" s="33"/>
      <c r="K67" s="13"/>
      <c r="L67" s="3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30.0" customHeight="1">
      <c r="A68" s="41"/>
      <c r="B68" s="13"/>
      <c r="C68" s="13"/>
      <c r="D68" s="30"/>
      <c r="E68" s="14"/>
      <c r="F68" s="14"/>
      <c r="G68" s="53"/>
      <c r="H68" s="32"/>
      <c r="I68" s="16"/>
      <c r="J68" s="33"/>
      <c r="K68" s="13"/>
      <c r="L68" s="3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30.0" customHeight="1">
      <c r="A69" s="41"/>
      <c r="B69" s="13"/>
      <c r="C69" s="13"/>
      <c r="D69" s="30"/>
      <c r="E69" s="14"/>
      <c r="F69" s="14"/>
      <c r="G69" s="53"/>
      <c r="H69" s="32"/>
      <c r="I69" s="16"/>
      <c r="J69" s="33"/>
      <c r="K69" s="13"/>
      <c r="L69" s="3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0" customHeight="1">
      <c r="A70" s="17"/>
      <c r="B70" s="13"/>
      <c r="C70" s="13"/>
      <c r="D70" s="13"/>
      <c r="E70" s="13"/>
      <c r="F70" s="13"/>
      <c r="G70" s="55">
        <f>SUM(G7:G60)</f>
        <v>51166.19582</v>
      </c>
      <c r="H70" s="18">
        <f>SUM(H7:H69)</f>
        <v>547.16</v>
      </c>
      <c r="I70" s="18">
        <f>SUM(I7:I58)</f>
        <v>423.1519784</v>
      </c>
      <c r="J70" s="18">
        <f>SUM(J7:J60)</f>
        <v>52108.03524</v>
      </c>
      <c r="K70" s="18">
        <f>SUM(K7:K56)</f>
        <v>0</v>
      </c>
      <c r="L70" s="18">
        <f>SUM(L7:L60)</f>
        <v>52108.03524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2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52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10.29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147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45422.0</v>
      </c>
      <c r="F7" s="31"/>
      <c r="G7" s="52">
        <v>4668.209082976742</v>
      </c>
      <c r="H7" s="32"/>
      <c r="I7" s="33">
        <f t="shared" ref="I7:I64" si="1">G7*0.83%</f>
        <v>38.74613539</v>
      </c>
      <c r="J7" s="33">
        <f t="shared" ref="J7:J64" si="2">G7+H7+I7</f>
        <v>4706.955218</v>
      </c>
      <c r="K7" s="30"/>
      <c r="L7" s="33">
        <f t="shared" ref="L7:L64" si="3">J7-K7</f>
        <v>4706.955218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45422.0</v>
      </c>
      <c r="F8" s="31"/>
      <c r="G8" s="52">
        <v>7792.701695211833</v>
      </c>
      <c r="H8" s="32">
        <v>30.0</v>
      </c>
      <c r="I8" s="33">
        <f t="shared" si="1"/>
        <v>64.67942407</v>
      </c>
      <c r="J8" s="33">
        <f t="shared" si="2"/>
        <v>7887.381119</v>
      </c>
      <c r="K8" s="30"/>
      <c r="L8" s="33">
        <f t="shared" si="3"/>
        <v>7887.381119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45423.0</v>
      </c>
      <c r="F9" s="31"/>
      <c r="G9" s="52">
        <v>7651.727858879935</v>
      </c>
      <c r="H9" s="32">
        <v>50.0</v>
      </c>
      <c r="I9" s="33">
        <f t="shared" si="1"/>
        <v>63.50934123</v>
      </c>
      <c r="J9" s="33">
        <f t="shared" si="2"/>
        <v>7765.2372</v>
      </c>
      <c r="K9" s="30"/>
      <c r="L9" s="33">
        <f t="shared" si="3"/>
        <v>7765.2372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52">
        <v>3127.9064136843886</v>
      </c>
      <c r="H10" s="32"/>
      <c r="I10" s="32">
        <f t="shared" si="1"/>
        <v>25.96162323</v>
      </c>
      <c r="J10" s="32">
        <f t="shared" si="2"/>
        <v>3153.868037</v>
      </c>
      <c r="K10" s="34"/>
      <c r="L10" s="32">
        <f t="shared" si="3"/>
        <v>3153.868037</v>
      </c>
      <c r="M10" s="4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45239.0</v>
      </c>
      <c r="F11" s="35"/>
      <c r="G11" s="52">
        <v>521.4283955635482</v>
      </c>
      <c r="H11" s="32"/>
      <c r="I11" s="32">
        <f t="shared" si="1"/>
        <v>4.327855683</v>
      </c>
      <c r="J11" s="32">
        <f t="shared" si="2"/>
        <v>525.7562512</v>
      </c>
      <c r="K11" s="34"/>
      <c r="L11" s="32">
        <f t="shared" si="3"/>
        <v>525.7562512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45383.0</v>
      </c>
      <c r="F12" s="35"/>
      <c r="G12" s="52">
        <v>317.15400472169614</v>
      </c>
      <c r="H12" s="32"/>
      <c r="I12" s="32">
        <f t="shared" si="1"/>
        <v>2.632378239</v>
      </c>
      <c r="J12" s="52">
        <f t="shared" si="2"/>
        <v>319.786383</v>
      </c>
      <c r="K12" s="34"/>
      <c r="L12" s="52">
        <f t="shared" si="3"/>
        <v>319.786383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45422.0</v>
      </c>
      <c r="F13" s="31"/>
      <c r="G13" s="52">
        <v>7461.666526144317</v>
      </c>
      <c r="H13" s="32">
        <v>80.48</v>
      </c>
      <c r="I13" s="33">
        <f t="shared" si="1"/>
        <v>61.93183217</v>
      </c>
      <c r="J13" s="33">
        <f t="shared" si="2"/>
        <v>7604.078358</v>
      </c>
      <c r="K13" s="30"/>
      <c r="L13" s="33">
        <f t="shared" si="3"/>
        <v>7604.078358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41">
        <v>8.0</v>
      </c>
      <c r="B14" s="30" t="s">
        <v>48</v>
      </c>
      <c r="C14" s="30" t="s">
        <v>91</v>
      </c>
      <c r="D14" s="30" t="s">
        <v>92</v>
      </c>
      <c r="E14" s="31">
        <v>45606.0</v>
      </c>
      <c r="F14" s="31"/>
      <c r="G14" s="52">
        <v>3662.7784677154477</v>
      </c>
      <c r="H14" s="32">
        <v>30.0</v>
      </c>
      <c r="I14" s="33">
        <f t="shared" si="1"/>
        <v>30.40106128</v>
      </c>
      <c r="J14" s="33">
        <f t="shared" si="2"/>
        <v>3723.179529</v>
      </c>
      <c r="K14" s="30"/>
      <c r="L14" s="33">
        <f t="shared" si="3"/>
        <v>3723.179529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41">
        <v>9.0</v>
      </c>
      <c r="B15" s="30" t="s">
        <v>146</v>
      </c>
      <c r="C15" s="30" t="s">
        <v>91</v>
      </c>
      <c r="D15" s="30" t="s">
        <v>92</v>
      </c>
      <c r="E15" s="31">
        <v>45414.0</v>
      </c>
      <c r="F15" s="31"/>
      <c r="G15" s="52">
        <v>3632.7784677154477</v>
      </c>
      <c r="H15" s="32">
        <v>10.0</v>
      </c>
      <c r="I15" s="33">
        <f t="shared" si="1"/>
        <v>30.15206128</v>
      </c>
      <c r="J15" s="33">
        <f t="shared" si="2"/>
        <v>3672.930529</v>
      </c>
      <c r="K15" s="30"/>
      <c r="L15" s="33">
        <f t="shared" si="3"/>
        <v>3672.930529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9.0</v>
      </c>
      <c r="B16" s="30" t="s">
        <v>49</v>
      </c>
      <c r="C16" s="30" t="s">
        <v>91</v>
      </c>
      <c r="D16" s="30" t="s">
        <v>94</v>
      </c>
      <c r="E16" s="31">
        <v>45418.0</v>
      </c>
      <c r="F16" s="31" t="s">
        <v>38</v>
      </c>
      <c r="G16" s="52">
        <v>145.28921363075534</v>
      </c>
      <c r="H16" s="32">
        <v>10.0</v>
      </c>
      <c r="I16" s="33">
        <f t="shared" si="1"/>
        <v>1.205900473</v>
      </c>
      <c r="J16" s="33">
        <f t="shared" si="2"/>
        <v>156.4951141</v>
      </c>
      <c r="K16" s="30"/>
      <c r="L16" s="33">
        <f t="shared" si="3"/>
        <v>156.4951141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10.0</v>
      </c>
      <c r="B17" s="30" t="s">
        <v>58</v>
      </c>
      <c r="C17" s="30" t="s">
        <v>93</v>
      </c>
      <c r="D17" s="30" t="s">
        <v>94</v>
      </c>
      <c r="E17" s="31">
        <v>45600.0</v>
      </c>
      <c r="F17" s="31" t="s">
        <v>39</v>
      </c>
      <c r="G17" s="52">
        <v>348.7831297853621</v>
      </c>
      <c r="H17" s="32">
        <v>20.0</v>
      </c>
      <c r="I17" s="33">
        <f t="shared" si="1"/>
        <v>2.894899977</v>
      </c>
      <c r="J17" s="33">
        <f t="shared" si="2"/>
        <v>371.6780298</v>
      </c>
      <c r="K17" s="30"/>
      <c r="L17" s="33">
        <f t="shared" si="3"/>
        <v>371.6780298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11.0</v>
      </c>
      <c r="B18" s="30" t="s">
        <v>51</v>
      </c>
      <c r="C18" s="30" t="s">
        <v>91</v>
      </c>
      <c r="D18" s="30" t="s">
        <v>94</v>
      </c>
      <c r="E18" s="31">
        <v>45294.0</v>
      </c>
      <c r="F18" s="31" t="s">
        <v>34</v>
      </c>
      <c r="G18" s="52">
        <v>111.17053779938693</v>
      </c>
      <c r="H18" s="32"/>
      <c r="I18" s="33">
        <f t="shared" si="1"/>
        <v>0.9227154637</v>
      </c>
      <c r="J18" s="33">
        <f t="shared" si="2"/>
        <v>112.0932533</v>
      </c>
      <c r="K18" s="30"/>
      <c r="L18" s="33">
        <f t="shared" si="3"/>
        <v>112.0932533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12.0</v>
      </c>
      <c r="B19" s="30" t="s">
        <v>52</v>
      </c>
      <c r="C19" s="30" t="s">
        <v>91</v>
      </c>
      <c r="D19" s="30" t="s">
        <v>94</v>
      </c>
      <c r="E19" s="31">
        <v>45029.0</v>
      </c>
      <c r="F19" s="31" t="s">
        <v>38</v>
      </c>
      <c r="G19" s="52">
        <v>87.99876806883864</v>
      </c>
      <c r="H19" s="32"/>
      <c r="I19" s="33">
        <f t="shared" si="1"/>
        <v>0.730389775</v>
      </c>
      <c r="J19" s="33">
        <f t="shared" si="2"/>
        <v>88.72915784</v>
      </c>
      <c r="K19" s="30"/>
      <c r="L19" s="33">
        <f t="shared" si="3"/>
        <v>88.72915784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41">
        <v>13.0</v>
      </c>
      <c r="B20" s="30" t="s">
        <v>72</v>
      </c>
      <c r="C20" s="30" t="s">
        <v>91</v>
      </c>
      <c r="D20" s="30" t="s">
        <v>94</v>
      </c>
      <c r="E20" s="31">
        <v>45387.0</v>
      </c>
      <c r="F20" s="31" t="s">
        <v>38</v>
      </c>
      <c r="G20" s="52">
        <v>241.15754636505682</v>
      </c>
      <c r="H20" s="32"/>
      <c r="I20" s="32">
        <f t="shared" si="1"/>
        <v>2.001607635</v>
      </c>
      <c r="J20" s="32">
        <f t="shared" si="2"/>
        <v>243.159154</v>
      </c>
      <c r="K20" s="34"/>
      <c r="L20" s="32">
        <f t="shared" si="3"/>
        <v>243.159154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41">
        <v>14.0</v>
      </c>
      <c r="B21" s="34" t="s">
        <v>54</v>
      </c>
      <c r="C21" s="34" t="s">
        <v>91</v>
      </c>
      <c r="D21" s="30" t="s">
        <v>94</v>
      </c>
      <c r="E21" s="35">
        <v>45414.0</v>
      </c>
      <c r="F21" s="35" t="s">
        <v>34</v>
      </c>
      <c r="G21" s="52">
        <v>1736.57471227616</v>
      </c>
      <c r="H21" s="32"/>
      <c r="I21" s="33">
        <f t="shared" si="1"/>
        <v>14.41357011</v>
      </c>
      <c r="J21" s="33">
        <f t="shared" si="2"/>
        <v>1750.988282</v>
      </c>
      <c r="K21" s="30"/>
      <c r="L21" s="33">
        <f t="shared" si="3"/>
        <v>1750.988282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15.0</v>
      </c>
      <c r="B22" s="30" t="s">
        <v>55</v>
      </c>
      <c r="C22" s="30" t="s">
        <v>91</v>
      </c>
      <c r="D22" s="30" t="s">
        <v>94</v>
      </c>
      <c r="E22" s="31">
        <v>45386.0</v>
      </c>
      <c r="F22" s="31" t="s">
        <v>33</v>
      </c>
      <c r="G22" s="52">
        <v>226.2484520367413</v>
      </c>
      <c r="H22" s="32">
        <v>25.0</v>
      </c>
      <c r="I22" s="33">
        <f t="shared" si="1"/>
        <v>1.877862152</v>
      </c>
      <c r="J22" s="33">
        <f t="shared" si="2"/>
        <v>253.1263142</v>
      </c>
      <c r="K22" s="30"/>
      <c r="L22" s="33">
        <f t="shared" si="3"/>
        <v>253.1263142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16.0</v>
      </c>
      <c r="B23" s="30" t="s">
        <v>40</v>
      </c>
      <c r="C23" s="30" t="s">
        <v>91</v>
      </c>
      <c r="D23" s="30" t="s">
        <v>94</v>
      </c>
      <c r="E23" s="31">
        <v>45415.0</v>
      </c>
      <c r="F23" s="31" t="s">
        <v>38</v>
      </c>
      <c r="G23" s="52">
        <v>1928.0156786559655</v>
      </c>
      <c r="H23" s="39">
        <v>50.0</v>
      </c>
      <c r="I23" s="32">
        <f t="shared" si="1"/>
        <v>16.00253013</v>
      </c>
      <c r="J23" s="32">
        <f t="shared" si="2"/>
        <v>1994.018209</v>
      </c>
      <c r="K23" s="34"/>
      <c r="L23" s="32">
        <f t="shared" si="3"/>
        <v>1994.018209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17.0</v>
      </c>
      <c r="B24" s="34" t="s">
        <v>41</v>
      </c>
      <c r="C24" s="34" t="s">
        <v>91</v>
      </c>
      <c r="D24" s="30" t="s">
        <v>94</v>
      </c>
      <c r="E24" s="35">
        <v>45414.0</v>
      </c>
      <c r="F24" s="35" t="s">
        <v>34</v>
      </c>
      <c r="G24" s="52">
        <v>298.54104780970323</v>
      </c>
      <c r="H24" s="39">
        <v>20.0</v>
      </c>
      <c r="I24" s="33">
        <f t="shared" si="1"/>
        <v>2.477890697</v>
      </c>
      <c r="J24" s="33">
        <f t="shared" si="2"/>
        <v>321.0189385</v>
      </c>
      <c r="K24" s="30"/>
      <c r="L24" s="33">
        <f t="shared" si="3"/>
        <v>321.0189385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18.0</v>
      </c>
      <c r="B25" s="30" t="s">
        <v>95</v>
      </c>
      <c r="C25" s="30" t="s">
        <v>93</v>
      </c>
      <c r="D25" s="30" t="s">
        <v>94</v>
      </c>
      <c r="E25" s="31">
        <v>45427.0</v>
      </c>
      <c r="F25" s="31" t="s">
        <v>39</v>
      </c>
      <c r="G25" s="52">
        <v>653.5934650028152</v>
      </c>
      <c r="H25" s="39">
        <v>5.0</v>
      </c>
      <c r="I25" s="33">
        <f t="shared" si="1"/>
        <v>5.42482576</v>
      </c>
      <c r="J25" s="33">
        <f t="shared" si="2"/>
        <v>664.0182908</v>
      </c>
      <c r="K25" s="30"/>
      <c r="L25" s="33">
        <f t="shared" si="3"/>
        <v>664.0182908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41">
        <v>19.0</v>
      </c>
      <c r="B26" s="30" t="s">
        <v>96</v>
      </c>
      <c r="C26" s="30" t="s">
        <v>91</v>
      </c>
      <c r="D26" s="30" t="s">
        <v>94</v>
      </c>
      <c r="E26" s="31">
        <v>45388.0</v>
      </c>
      <c r="F26" s="31" t="s">
        <v>33</v>
      </c>
      <c r="G26" s="52">
        <v>253.7908240933966</v>
      </c>
      <c r="H26" s="39"/>
      <c r="I26" s="33">
        <f t="shared" si="1"/>
        <v>2.10646384</v>
      </c>
      <c r="J26" s="33">
        <f t="shared" si="2"/>
        <v>255.8972879</v>
      </c>
      <c r="K26" s="30"/>
      <c r="L26" s="33">
        <f t="shared" si="3"/>
        <v>255.8972879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20.0</v>
      </c>
      <c r="B27" s="34" t="s">
        <v>97</v>
      </c>
      <c r="C27" s="30" t="s">
        <v>93</v>
      </c>
      <c r="D27" s="30" t="s">
        <v>94</v>
      </c>
      <c r="E27" s="31">
        <v>45386.0</v>
      </c>
      <c r="F27" s="31" t="s">
        <v>34</v>
      </c>
      <c r="G27" s="52">
        <v>82.4375575246375</v>
      </c>
      <c r="H27" s="39"/>
      <c r="I27" s="32">
        <f t="shared" si="1"/>
        <v>0.6842317275</v>
      </c>
      <c r="J27" s="32">
        <f t="shared" si="2"/>
        <v>83.12178925</v>
      </c>
      <c r="K27" s="34"/>
      <c r="L27" s="32">
        <f t="shared" si="3"/>
        <v>83.12178925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21.0</v>
      </c>
      <c r="B28" s="34" t="s">
        <v>98</v>
      </c>
      <c r="C28" s="34" t="s">
        <v>93</v>
      </c>
      <c r="D28" s="30" t="s">
        <v>94</v>
      </c>
      <c r="E28" s="35">
        <v>45140.0</v>
      </c>
      <c r="F28" s="35" t="s">
        <v>38</v>
      </c>
      <c r="G28" s="52">
        <v>121.00688868787432</v>
      </c>
      <c r="H28" s="39"/>
      <c r="I28" s="33">
        <f t="shared" si="1"/>
        <v>1.004357176</v>
      </c>
      <c r="J28" s="33">
        <f t="shared" si="2"/>
        <v>122.0112459</v>
      </c>
      <c r="K28" s="30"/>
      <c r="L28" s="33">
        <f t="shared" si="3"/>
        <v>122.0112459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22.0</v>
      </c>
      <c r="B29" s="30" t="s">
        <v>61</v>
      </c>
      <c r="C29" s="30" t="s">
        <v>91</v>
      </c>
      <c r="D29" s="30" t="s">
        <v>94</v>
      </c>
      <c r="E29" s="31">
        <v>45235.0</v>
      </c>
      <c r="F29" s="31" t="s">
        <v>38</v>
      </c>
      <c r="G29" s="52">
        <v>142.46483543744543</v>
      </c>
      <c r="H29" s="39"/>
      <c r="I29" s="33">
        <f t="shared" si="1"/>
        <v>1.182458134</v>
      </c>
      <c r="J29" s="33">
        <f t="shared" si="2"/>
        <v>143.6472936</v>
      </c>
      <c r="K29" s="30"/>
      <c r="L29" s="33">
        <f t="shared" si="3"/>
        <v>143.6472936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23.0</v>
      </c>
      <c r="B30" s="30" t="s">
        <v>63</v>
      </c>
      <c r="C30" s="30" t="s">
        <v>91</v>
      </c>
      <c r="D30" s="30" t="s">
        <v>94</v>
      </c>
      <c r="E30" s="31">
        <v>45422.0</v>
      </c>
      <c r="F30" s="31" t="s">
        <v>39</v>
      </c>
      <c r="G30" s="52">
        <v>1027.0302862524165</v>
      </c>
      <c r="H30" s="39"/>
      <c r="I30" s="33">
        <f t="shared" si="1"/>
        <v>8.524351376</v>
      </c>
      <c r="J30" s="33">
        <f t="shared" si="2"/>
        <v>1035.554638</v>
      </c>
      <c r="K30" s="30"/>
      <c r="L30" s="33">
        <f t="shared" si="3"/>
        <v>1035.554638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24.0</v>
      </c>
      <c r="B31" s="34" t="s">
        <v>64</v>
      </c>
      <c r="C31" s="30" t="s">
        <v>91</v>
      </c>
      <c r="D31" s="30" t="s">
        <v>94</v>
      </c>
      <c r="E31" s="31">
        <v>45420.0</v>
      </c>
      <c r="F31" s="31" t="s">
        <v>40</v>
      </c>
      <c r="G31" s="52">
        <v>671.6486011019672</v>
      </c>
      <c r="H31" s="39"/>
      <c r="I31" s="33">
        <f t="shared" si="1"/>
        <v>5.574683389</v>
      </c>
      <c r="J31" s="33">
        <f t="shared" si="2"/>
        <v>677.2232845</v>
      </c>
      <c r="K31" s="30"/>
      <c r="L31" s="33">
        <f t="shared" si="3"/>
        <v>677.2232845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25.0</v>
      </c>
      <c r="B32" s="30" t="s">
        <v>65</v>
      </c>
      <c r="C32" s="30" t="s">
        <v>91</v>
      </c>
      <c r="D32" s="30" t="s">
        <v>94</v>
      </c>
      <c r="E32" s="31">
        <v>45383.0</v>
      </c>
      <c r="F32" s="31" t="s">
        <v>39</v>
      </c>
      <c r="G32" s="52">
        <v>44.12150522818311</v>
      </c>
      <c r="H32" s="39"/>
      <c r="I32" s="33">
        <f t="shared" si="1"/>
        <v>0.3662084934</v>
      </c>
      <c r="J32" s="33">
        <f t="shared" si="2"/>
        <v>44.48771372</v>
      </c>
      <c r="K32" s="30"/>
      <c r="L32" s="33">
        <f t="shared" si="3"/>
        <v>44.48771372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26.0</v>
      </c>
      <c r="B33" s="30" t="s">
        <v>66</v>
      </c>
      <c r="C33" s="30" t="s">
        <v>91</v>
      </c>
      <c r="D33" s="30" t="s">
        <v>94</v>
      </c>
      <c r="E33" s="31">
        <v>45209.0</v>
      </c>
      <c r="F33" s="31" t="s">
        <v>33</v>
      </c>
      <c r="G33" s="52">
        <v>67.65432935748353</v>
      </c>
      <c r="H33" s="39"/>
      <c r="I33" s="33">
        <f t="shared" si="1"/>
        <v>0.5615309337</v>
      </c>
      <c r="J33" s="33">
        <f t="shared" si="2"/>
        <v>68.21586029</v>
      </c>
      <c r="K33" s="30"/>
      <c r="L33" s="33">
        <f t="shared" si="3"/>
        <v>68.21586029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27.0</v>
      </c>
      <c r="B34" s="30" t="s">
        <v>99</v>
      </c>
      <c r="C34" s="30" t="s">
        <v>91</v>
      </c>
      <c r="D34" s="30" t="s">
        <v>94</v>
      </c>
      <c r="E34" s="31">
        <v>45085.0</v>
      </c>
      <c r="F34" s="31" t="s">
        <v>38</v>
      </c>
      <c r="G34" s="52">
        <v>228.2755281110259</v>
      </c>
      <c r="H34" s="32"/>
      <c r="I34" s="33">
        <f t="shared" si="1"/>
        <v>1.894686883</v>
      </c>
      <c r="J34" s="33">
        <f t="shared" si="2"/>
        <v>230.170215</v>
      </c>
      <c r="K34" s="30"/>
      <c r="L34" s="33">
        <f t="shared" si="3"/>
        <v>230.170215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28.0</v>
      </c>
      <c r="B35" s="30" t="s">
        <v>100</v>
      </c>
      <c r="C35" s="30" t="s">
        <v>93</v>
      </c>
      <c r="D35" s="30" t="s">
        <v>94</v>
      </c>
      <c r="E35" s="31">
        <v>45427.0</v>
      </c>
      <c r="F35" s="31" t="s">
        <v>39</v>
      </c>
      <c r="G35" s="52">
        <v>69.5112519037575</v>
      </c>
      <c r="H35" s="32"/>
      <c r="I35" s="33">
        <f t="shared" si="1"/>
        <v>0.5769433908</v>
      </c>
      <c r="J35" s="33">
        <f t="shared" si="2"/>
        <v>70.08819529</v>
      </c>
      <c r="K35" s="30"/>
      <c r="L35" s="33">
        <f t="shared" si="3"/>
        <v>70.08819529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29.0</v>
      </c>
      <c r="B36" s="30" t="s">
        <v>101</v>
      </c>
      <c r="C36" s="30" t="s">
        <v>93</v>
      </c>
      <c r="D36" s="30" t="s">
        <v>94</v>
      </c>
      <c r="E36" s="31">
        <v>45235.0</v>
      </c>
      <c r="F36" s="31"/>
      <c r="G36" s="52">
        <v>1096.5521568689892</v>
      </c>
      <c r="H36" s="32"/>
      <c r="I36" s="33">
        <f t="shared" si="1"/>
        <v>9.101382902</v>
      </c>
      <c r="J36" s="33">
        <f t="shared" si="2"/>
        <v>1105.65354</v>
      </c>
      <c r="K36" s="30"/>
      <c r="L36" s="33">
        <f t="shared" si="3"/>
        <v>1105.65354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0.0" customHeight="1">
      <c r="A37" s="41">
        <v>30.0</v>
      </c>
      <c r="B37" s="30" t="s">
        <v>102</v>
      </c>
      <c r="C37" s="30"/>
      <c r="D37" s="30" t="s">
        <v>94</v>
      </c>
      <c r="E37" s="31">
        <v>45235.0</v>
      </c>
      <c r="F37" s="31"/>
      <c r="G37" s="52">
        <v>16.473974730015662</v>
      </c>
      <c r="H37" s="32"/>
      <c r="I37" s="33">
        <f t="shared" si="1"/>
        <v>0.1367339903</v>
      </c>
      <c r="J37" s="33">
        <f t="shared" si="2"/>
        <v>16.61070872</v>
      </c>
      <c r="K37" s="30"/>
      <c r="L37" s="33">
        <f t="shared" si="3"/>
        <v>16.61070872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31.0</v>
      </c>
      <c r="B38" s="30" t="s">
        <v>104</v>
      </c>
      <c r="C38" s="30"/>
      <c r="D38" s="30" t="s">
        <v>94</v>
      </c>
      <c r="E38" s="31">
        <v>45416.0</v>
      </c>
      <c r="F38" s="31"/>
      <c r="G38" s="52">
        <v>173.61502563565412</v>
      </c>
      <c r="H38" s="32">
        <v>15.0</v>
      </c>
      <c r="I38" s="33">
        <f t="shared" si="1"/>
        <v>1.441004713</v>
      </c>
      <c r="J38" s="33">
        <f t="shared" si="2"/>
        <v>190.0560303</v>
      </c>
      <c r="K38" s="30"/>
      <c r="L38" s="33">
        <f t="shared" si="3"/>
        <v>190.0560303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32.0</v>
      </c>
      <c r="B39" s="30" t="s">
        <v>105</v>
      </c>
      <c r="C39" s="30"/>
      <c r="D39" s="30" t="s">
        <v>94</v>
      </c>
      <c r="E39" s="31">
        <v>45420.0</v>
      </c>
      <c r="F39" s="31"/>
      <c r="G39" s="52">
        <v>254.6391235325544</v>
      </c>
      <c r="H39" s="32"/>
      <c r="I39" s="33">
        <f t="shared" si="1"/>
        <v>2.113504725</v>
      </c>
      <c r="J39" s="33">
        <f t="shared" si="2"/>
        <v>256.7526283</v>
      </c>
      <c r="K39" s="30"/>
      <c r="L39" s="33">
        <f t="shared" si="3"/>
        <v>256.7526283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0.0" customHeight="1">
      <c r="A40" s="41">
        <v>33.0</v>
      </c>
      <c r="B40" s="30" t="s">
        <v>106</v>
      </c>
      <c r="C40" s="30"/>
      <c r="D40" s="30" t="s">
        <v>94</v>
      </c>
      <c r="E40" s="31">
        <v>45414.0</v>
      </c>
      <c r="F40" s="31"/>
      <c r="G40" s="52">
        <v>131.4645553274906</v>
      </c>
      <c r="H40" s="32">
        <v>10.0</v>
      </c>
      <c r="I40" s="33">
        <f t="shared" si="1"/>
        <v>1.091155809</v>
      </c>
      <c r="J40" s="33">
        <f t="shared" si="2"/>
        <v>142.5557111</v>
      </c>
      <c r="K40" s="30"/>
      <c r="L40" s="33">
        <f t="shared" si="3"/>
        <v>142.5557111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0.0" customHeight="1">
      <c r="A41" s="41">
        <v>34.0</v>
      </c>
      <c r="B41" s="30" t="s">
        <v>107</v>
      </c>
      <c r="C41" s="30"/>
      <c r="D41" s="30" t="s">
        <v>94</v>
      </c>
      <c r="E41" s="31">
        <v>45414.0</v>
      </c>
      <c r="F41" s="31"/>
      <c r="G41" s="52">
        <v>213.712463791603</v>
      </c>
      <c r="H41" s="32"/>
      <c r="I41" s="33">
        <f t="shared" si="1"/>
        <v>1.773813449</v>
      </c>
      <c r="J41" s="33">
        <f t="shared" si="2"/>
        <v>215.4862772</v>
      </c>
      <c r="K41" s="30"/>
      <c r="L41" s="33">
        <f t="shared" si="3"/>
        <v>215.4862772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0.0" customHeight="1">
      <c r="A42" s="41">
        <v>35.0</v>
      </c>
      <c r="B42" s="30" t="s">
        <v>108</v>
      </c>
      <c r="C42" s="30"/>
      <c r="D42" s="30" t="s">
        <v>94</v>
      </c>
      <c r="E42" s="31">
        <v>45330.0</v>
      </c>
      <c r="F42" s="31"/>
      <c r="G42" s="52">
        <v>59.48027227734156</v>
      </c>
      <c r="H42" s="32"/>
      <c r="I42" s="33">
        <f t="shared" si="1"/>
        <v>0.4936862599</v>
      </c>
      <c r="J42" s="33">
        <f t="shared" si="2"/>
        <v>59.97395854</v>
      </c>
      <c r="K42" s="30"/>
      <c r="L42" s="33">
        <f t="shared" si="3"/>
        <v>59.97395854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0.0" customHeight="1">
      <c r="A43" s="41">
        <v>36.0</v>
      </c>
      <c r="B43" s="30" t="s">
        <v>109</v>
      </c>
      <c r="C43" s="30"/>
      <c r="D43" s="30" t="s">
        <v>94</v>
      </c>
      <c r="E43" s="31">
        <v>45333.0</v>
      </c>
      <c r="F43" s="31"/>
      <c r="G43" s="52">
        <v>182.299544786813</v>
      </c>
      <c r="H43" s="32"/>
      <c r="I43" s="33">
        <f t="shared" si="1"/>
        <v>1.513086222</v>
      </c>
      <c r="J43" s="33">
        <f t="shared" si="2"/>
        <v>183.812631</v>
      </c>
      <c r="K43" s="30"/>
      <c r="L43" s="33">
        <f t="shared" si="3"/>
        <v>183.812631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0.0" customHeight="1">
      <c r="A44" s="41">
        <v>37.0</v>
      </c>
      <c r="B44" s="30" t="s">
        <v>110</v>
      </c>
      <c r="C44" s="30"/>
      <c r="D44" s="30" t="s">
        <v>94</v>
      </c>
      <c r="E44" s="31">
        <v>45418.0</v>
      </c>
      <c r="F44" s="31"/>
      <c r="G44" s="52">
        <v>173.41905841130063</v>
      </c>
      <c r="H44" s="32"/>
      <c r="I44" s="33">
        <f t="shared" si="1"/>
        <v>1.439378185</v>
      </c>
      <c r="J44" s="33">
        <f t="shared" si="2"/>
        <v>174.8584366</v>
      </c>
      <c r="K44" s="30"/>
      <c r="L44" s="33">
        <f t="shared" si="3"/>
        <v>174.8584366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0.0" customHeight="1">
      <c r="A45" s="41">
        <v>38.0</v>
      </c>
      <c r="B45" s="30" t="s">
        <v>111</v>
      </c>
      <c r="C45" s="30"/>
      <c r="D45" s="30" t="s">
        <v>94</v>
      </c>
      <c r="E45" s="31">
        <v>45333.0</v>
      </c>
      <c r="F45" s="31"/>
      <c r="G45" s="52">
        <v>54.86433157478658</v>
      </c>
      <c r="H45" s="32"/>
      <c r="I45" s="33">
        <f t="shared" si="1"/>
        <v>0.4553739521</v>
      </c>
      <c r="J45" s="33">
        <f t="shared" si="2"/>
        <v>55.31970553</v>
      </c>
      <c r="K45" s="30"/>
      <c r="L45" s="33">
        <f t="shared" si="3"/>
        <v>55.31970553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0.0" customHeight="1">
      <c r="A46" s="41">
        <v>39.0</v>
      </c>
      <c r="B46" s="30" t="s">
        <v>112</v>
      </c>
      <c r="C46" s="30"/>
      <c r="D46" s="30" t="s">
        <v>94</v>
      </c>
      <c r="E46" s="31">
        <v>45245.0</v>
      </c>
      <c r="F46" s="31"/>
      <c r="G46" s="52">
        <v>21.994597931582508</v>
      </c>
      <c r="H46" s="32"/>
      <c r="I46" s="33">
        <f t="shared" si="1"/>
        <v>0.1825551628</v>
      </c>
      <c r="J46" s="33">
        <f t="shared" si="2"/>
        <v>22.17715309</v>
      </c>
      <c r="K46" s="30"/>
      <c r="L46" s="33">
        <f t="shared" si="3"/>
        <v>22.17715309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0.0" customHeight="1">
      <c r="A47" s="41">
        <v>40.0</v>
      </c>
      <c r="B47" s="30" t="s">
        <v>116</v>
      </c>
      <c r="C47" s="30"/>
      <c r="D47" s="30" t="s">
        <v>94</v>
      </c>
      <c r="E47" s="31">
        <v>45293.0</v>
      </c>
      <c r="F47" s="31"/>
      <c r="G47" s="52">
        <v>10.772286730735965</v>
      </c>
      <c r="H47" s="32"/>
      <c r="I47" s="33">
        <f t="shared" si="1"/>
        <v>0.08940997987</v>
      </c>
      <c r="J47" s="33">
        <f t="shared" si="2"/>
        <v>10.86169671</v>
      </c>
      <c r="K47" s="30"/>
      <c r="L47" s="33">
        <f t="shared" si="3"/>
        <v>10.86169671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0.0" customHeight="1">
      <c r="A48" s="41">
        <v>41.0</v>
      </c>
      <c r="B48" s="30" t="s">
        <v>117</v>
      </c>
      <c r="C48" s="30"/>
      <c r="D48" s="30" t="s">
        <v>94</v>
      </c>
      <c r="E48" s="31">
        <v>45414.0</v>
      </c>
      <c r="F48" s="31"/>
      <c r="G48" s="52">
        <v>417.4240418872015</v>
      </c>
      <c r="H48" s="32"/>
      <c r="I48" s="33">
        <f t="shared" si="1"/>
        <v>3.464619548</v>
      </c>
      <c r="J48" s="33">
        <f t="shared" si="2"/>
        <v>420.8886614</v>
      </c>
      <c r="K48" s="30"/>
      <c r="L48" s="33">
        <f t="shared" si="3"/>
        <v>420.8886614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0.0" customHeight="1">
      <c r="A49" s="41">
        <v>42.0</v>
      </c>
      <c r="B49" s="30" t="s">
        <v>118</v>
      </c>
      <c r="C49" s="30"/>
      <c r="D49" s="30" t="s">
        <v>94</v>
      </c>
      <c r="E49" s="31">
        <v>45303.0</v>
      </c>
      <c r="F49" s="31"/>
      <c r="G49" s="52">
        <v>21.54457346147193</v>
      </c>
      <c r="H49" s="32"/>
      <c r="I49" s="33">
        <f t="shared" si="1"/>
        <v>0.1788199597</v>
      </c>
      <c r="J49" s="33">
        <f t="shared" si="2"/>
        <v>21.72339342</v>
      </c>
      <c r="K49" s="30"/>
      <c r="L49" s="33">
        <f t="shared" si="3"/>
        <v>21.72339342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0.0" customHeight="1">
      <c r="A50" s="41">
        <v>43.0</v>
      </c>
      <c r="B50" s="30" t="s">
        <v>120</v>
      </c>
      <c r="C50" s="30"/>
      <c r="D50" s="30" t="s">
        <v>94</v>
      </c>
      <c r="E50" s="31">
        <v>45419.0</v>
      </c>
      <c r="F50" s="31"/>
      <c r="G50" s="32">
        <v>93.04659406457432</v>
      </c>
      <c r="H50" s="32">
        <v>10.0</v>
      </c>
      <c r="I50" s="33">
        <f t="shared" si="1"/>
        <v>0.7722867307</v>
      </c>
      <c r="J50" s="33">
        <f t="shared" si="2"/>
        <v>103.8188808</v>
      </c>
      <c r="K50" s="30"/>
      <c r="L50" s="33">
        <f t="shared" si="3"/>
        <v>103.8188808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0.0" customHeight="1">
      <c r="A51" s="41">
        <v>44.0</v>
      </c>
      <c r="B51" s="30" t="s">
        <v>121</v>
      </c>
      <c r="C51" s="30"/>
      <c r="D51" s="30" t="s">
        <v>94</v>
      </c>
      <c r="E51" s="31">
        <v>45324.0</v>
      </c>
      <c r="F51" s="31"/>
      <c r="G51" s="52">
        <v>10.683612744952857</v>
      </c>
      <c r="H51" s="32"/>
      <c r="I51" s="33">
        <f t="shared" si="1"/>
        <v>0.08867398578</v>
      </c>
      <c r="J51" s="33">
        <f t="shared" si="2"/>
        <v>10.77228673</v>
      </c>
      <c r="K51" s="30"/>
      <c r="L51" s="33">
        <f t="shared" si="3"/>
        <v>10.77228673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0.0" customHeight="1">
      <c r="A52" s="41">
        <v>45.0</v>
      </c>
      <c r="B52" s="30" t="s">
        <v>124</v>
      </c>
      <c r="C52" s="30"/>
      <c r="D52" s="30" t="s">
        <v>94</v>
      </c>
      <c r="E52" s="31">
        <v>45332.0</v>
      </c>
      <c r="F52" s="31"/>
      <c r="G52" s="53">
        <v>51.184374062822855</v>
      </c>
      <c r="H52" s="32">
        <v>10.0</v>
      </c>
      <c r="I52" s="33">
        <f t="shared" si="1"/>
        <v>0.4248303047</v>
      </c>
      <c r="J52" s="33">
        <f t="shared" si="2"/>
        <v>61.60920437</v>
      </c>
      <c r="K52" s="13"/>
      <c r="L52" s="33">
        <f t="shared" si="3"/>
        <v>61.60920437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0.0" customHeight="1">
      <c r="A53" s="41">
        <v>46.0</v>
      </c>
      <c r="B53" s="13" t="s">
        <v>125</v>
      </c>
      <c r="C53" s="13"/>
      <c r="D53" s="30" t="s">
        <v>94</v>
      </c>
      <c r="E53" s="14">
        <v>45423.0</v>
      </c>
      <c r="F53" s="14"/>
      <c r="G53" s="53">
        <v>104.73919506327971</v>
      </c>
      <c r="H53" s="32"/>
      <c r="I53" s="33">
        <f t="shared" si="1"/>
        <v>0.869335319</v>
      </c>
      <c r="J53" s="33">
        <f t="shared" si="2"/>
        <v>105.6085304</v>
      </c>
      <c r="K53" s="13"/>
      <c r="L53" s="33">
        <f t="shared" si="3"/>
        <v>105.6085304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0.0" customHeight="1">
      <c r="A54" s="41">
        <v>47.0</v>
      </c>
      <c r="B54" s="54" t="s">
        <v>126</v>
      </c>
      <c r="C54" s="13"/>
      <c r="D54" s="30" t="s">
        <v>94</v>
      </c>
      <c r="E54" s="14">
        <v>45420.0</v>
      </c>
      <c r="F54" s="14"/>
      <c r="G54" s="53">
        <v>262.09793552866785</v>
      </c>
      <c r="H54" s="32"/>
      <c r="I54" s="33">
        <f t="shared" si="1"/>
        <v>2.175412865</v>
      </c>
      <c r="J54" s="33">
        <f t="shared" si="2"/>
        <v>264.2733484</v>
      </c>
      <c r="K54" s="13"/>
      <c r="L54" s="33">
        <f t="shared" si="3"/>
        <v>264.2733484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0.0" customHeight="1">
      <c r="A55" s="41">
        <v>48.0</v>
      </c>
      <c r="B55" s="13" t="s">
        <v>127</v>
      </c>
      <c r="C55" s="13"/>
      <c r="D55" s="30" t="s">
        <v>94</v>
      </c>
      <c r="E55" s="14">
        <v>45420.0</v>
      </c>
      <c r="F55" s="14"/>
      <c r="G55" s="53">
        <v>42.03523022234328</v>
      </c>
      <c r="H55" s="32"/>
      <c r="I55" s="33">
        <f t="shared" si="1"/>
        <v>0.3488924108</v>
      </c>
      <c r="J55" s="33">
        <f t="shared" si="2"/>
        <v>42.38412263</v>
      </c>
      <c r="K55" s="13"/>
      <c r="L55" s="33">
        <f t="shared" si="3"/>
        <v>42.38412263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0.0" customHeight="1">
      <c r="A56" s="41">
        <v>49.0</v>
      </c>
      <c r="B56" s="13" t="s">
        <v>128</v>
      </c>
      <c r="C56" s="13"/>
      <c r="D56" s="30" t="s">
        <v>94</v>
      </c>
      <c r="E56" s="14">
        <v>45414.0</v>
      </c>
      <c r="F56" s="14"/>
      <c r="G56" s="53">
        <v>82.36298131962147</v>
      </c>
      <c r="H56" s="32">
        <v>10.0</v>
      </c>
      <c r="I56" s="33">
        <f t="shared" si="1"/>
        <v>0.683612745</v>
      </c>
      <c r="J56" s="33">
        <f t="shared" si="2"/>
        <v>93.04659406</v>
      </c>
      <c r="K56" s="13"/>
      <c r="L56" s="33">
        <f t="shared" si="3"/>
        <v>93.04659406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0.0" customHeight="1">
      <c r="A57" s="41">
        <v>50.0</v>
      </c>
      <c r="B57" s="13" t="s">
        <v>129</v>
      </c>
      <c r="C57" s="13"/>
      <c r="D57" s="30" t="s">
        <v>94</v>
      </c>
      <c r="E57" s="14">
        <v>45423.0</v>
      </c>
      <c r="F57" s="14" t="s">
        <v>101</v>
      </c>
      <c r="G57" s="53">
        <v>1080.7308743005287</v>
      </c>
      <c r="H57" s="32">
        <v>5.0</v>
      </c>
      <c r="I57" s="33">
        <f t="shared" si="1"/>
        <v>8.970066257</v>
      </c>
      <c r="J57" s="33">
        <f t="shared" si="2"/>
        <v>1094.700941</v>
      </c>
      <c r="K57" s="13"/>
      <c r="L57" s="33">
        <f t="shared" si="3"/>
        <v>1094.700941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30.0" customHeight="1">
      <c r="A58" s="41">
        <v>50.0</v>
      </c>
      <c r="B58" s="13" t="s">
        <v>132</v>
      </c>
      <c r="C58" s="13"/>
      <c r="D58" s="30" t="s">
        <v>94</v>
      </c>
      <c r="E58" s="14">
        <v>45420.0</v>
      </c>
      <c r="F58" s="14"/>
      <c r="G58" s="53">
        <v>15.67617070220626</v>
      </c>
      <c r="H58" s="32"/>
      <c r="I58" s="33">
        <f t="shared" si="1"/>
        <v>0.1301122168</v>
      </c>
      <c r="J58" s="33">
        <f t="shared" si="2"/>
        <v>15.80628292</v>
      </c>
      <c r="K58" s="13"/>
      <c r="L58" s="33">
        <f t="shared" si="3"/>
        <v>15.80628292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30.0" customHeight="1">
      <c r="A59" s="41">
        <v>51.0</v>
      </c>
      <c r="B59" s="13" t="s">
        <v>133</v>
      </c>
      <c r="C59" s="13"/>
      <c r="D59" s="30" t="s">
        <v>94</v>
      </c>
      <c r="E59" s="58">
        <v>45606.0</v>
      </c>
      <c r="F59" s="14"/>
      <c r="G59" s="59">
        <v>194.62680040286452</v>
      </c>
      <c r="H59" s="32">
        <v>70.0</v>
      </c>
      <c r="I59" s="33">
        <f t="shared" si="1"/>
        <v>1.615402443</v>
      </c>
      <c r="J59" s="33">
        <f t="shared" si="2"/>
        <v>266.2422028</v>
      </c>
      <c r="K59" s="13"/>
      <c r="L59" s="33">
        <f t="shared" si="3"/>
        <v>266.2422028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0.0" customHeight="1">
      <c r="A60" s="41">
        <v>52.0</v>
      </c>
      <c r="B60" s="30" t="s">
        <v>134</v>
      </c>
      <c r="C60" s="13"/>
      <c r="D60" s="30" t="s">
        <v>94</v>
      </c>
      <c r="E60" s="14">
        <v>45390.0</v>
      </c>
      <c r="F60" s="14" t="s">
        <v>131</v>
      </c>
      <c r="G60" s="53">
        <v>20.930394988027018</v>
      </c>
      <c r="H60" s="32"/>
      <c r="I60" s="33">
        <f t="shared" si="1"/>
        <v>0.1737222784</v>
      </c>
      <c r="J60" s="33">
        <f t="shared" si="2"/>
        <v>21.10411727</v>
      </c>
      <c r="K60" s="13"/>
      <c r="L60" s="33">
        <f t="shared" si="3"/>
        <v>21.10411727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30.0" customHeight="1">
      <c r="A61" s="41">
        <v>53.0</v>
      </c>
      <c r="B61" s="13" t="s">
        <v>135</v>
      </c>
      <c r="C61" s="13"/>
      <c r="D61" s="30" t="s">
        <v>94</v>
      </c>
      <c r="E61" s="14">
        <v>45390.0</v>
      </c>
      <c r="F61" s="14" t="s">
        <v>131</v>
      </c>
      <c r="G61" s="53">
        <v>101.93191762376702</v>
      </c>
      <c r="H61" s="32">
        <v>20.0</v>
      </c>
      <c r="I61" s="33">
        <f t="shared" si="1"/>
        <v>0.8460349163</v>
      </c>
      <c r="J61" s="33">
        <f t="shared" si="2"/>
        <v>122.7779525</v>
      </c>
      <c r="K61" s="13"/>
      <c r="L61" s="33">
        <f t="shared" si="3"/>
        <v>122.7779525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0.0" customHeight="1">
      <c r="A62" s="41">
        <v>54.0</v>
      </c>
      <c r="B62" s="13" t="s">
        <v>136</v>
      </c>
      <c r="C62" s="13"/>
      <c r="D62" s="30" t="s">
        <v>94</v>
      </c>
      <c r="E62" s="14">
        <v>45390.0</v>
      </c>
      <c r="F62" s="14" t="s">
        <v>131</v>
      </c>
      <c r="G62" s="53">
        <v>20.930394988027018</v>
      </c>
      <c r="H62" s="32"/>
      <c r="I62" s="33">
        <f t="shared" si="1"/>
        <v>0.1737222784</v>
      </c>
      <c r="J62" s="33">
        <f t="shared" si="2"/>
        <v>21.10411727</v>
      </c>
      <c r="K62" s="13"/>
      <c r="L62" s="33">
        <f t="shared" si="3"/>
        <v>21.10411727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30.0" customHeight="1">
      <c r="A63" s="41">
        <v>55.0</v>
      </c>
      <c r="B63" s="13" t="s">
        <v>138</v>
      </c>
      <c r="C63" s="13"/>
      <c r="D63" s="30" t="s">
        <v>94</v>
      </c>
      <c r="E63" s="14">
        <v>45420.0</v>
      </c>
      <c r="F63" s="14"/>
      <c r="G63" s="53">
        <v>10.42194641638551</v>
      </c>
      <c r="H63" s="32"/>
      <c r="I63" s="33">
        <f t="shared" si="1"/>
        <v>0.08650215526</v>
      </c>
      <c r="J63" s="33">
        <f t="shared" si="2"/>
        <v>10.50844857</v>
      </c>
      <c r="K63" s="13"/>
      <c r="L63" s="33">
        <f t="shared" si="3"/>
        <v>10.50844857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30.0" customHeight="1">
      <c r="A64" s="41">
        <v>56.0</v>
      </c>
      <c r="B64" s="13" t="s">
        <v>142</v>
      </c>
      <c r="C64" s="13"/>
      <c r="D64" s="30" t="s">
        <v>94</v>
      </c>
      <c r="E64" s="14"/>
      <c r="F64" s="14"/>
      <c r="G64" s="53">
        <v>25.16634445</v>
      </c>
      <c r="H64" s="32"/>
      <c r="I64" s="33">
        <f t="shared" si="1"/>
        <v>0.2088806589</v>
      </c>
      <c r="J64" s="33">
        <f t="shared" si="2"/>
        <v>25.37522511</v>
      </c>
      <c r="K64" s="13"/>
      <c r="L64" s="33">
        <f t="shared" si="3"/>
        <v>25.37522511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30.0" customHeight="1">
      <c r="A65" s="41"/>
      <c r="B65" s="13"/>
      <c r="C65" s="13"/>
      <c r="D65" s="30"/>
      <c r="E65" s="14"/>
      <c r="F65" s="14"/>
      <c r="G65" s="53"/>
      <c r="H65" s="32"/>
      <c r="I65" s="16"/>
      <c r="J65" s="33"/>
      <c r="K65" s="13"/>
      <c r="L65" s="3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30.0" customHeight="1">
      <c r="A66" s="41"/>
      <c r="B66" s="13"/>
      <c r="C66" s="13"/>
      <c r="D66" s="30"/>
      <c r="E66" s="14"/>
      <c r="F66" s="14"/>
      <c r="G66" s="53"/>
      <c r="H66" s="32"/>
      <c r="I66" s="16"/>
      <c r="J66" s="33"/>
      <c r="K66" s="13"/>
      <c r="L66" s="3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30.0" customHeight="1">
      <c r="A67" s="41"/>
      <c r="B67" s="13"/>
      <c r="C67" s="13"/>
      <c r="D67" s="30"/>
      <c r="E67" s="14"/>
      <c r="F67" s="14"/>
      <c r="G67" s="53"/>
      <c r="H67" s="32"/>
      <c r="I67" s="16"/>
      <c r="J67" s="33"/>
      <c r="K67" s="13"/>
      <c r="L67" s="3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30.0" customHeight="1">
      <c r="A68" s="41"/>
      <c r="B68" s="13"/>
      <c r="C68" s="13"/>
      <c r="D68" s="30"/>
      <c r="E68" s="14"/>
      <c r="F68" s="14"/>
      <c r="G68" s="53"/>
      <c r="H68" s="32"/>
      <c r="I68" s="16"/>
      <c r="J68" s="33"/>
      <c r="K68" s="13"/>
      <c r="L68" s="3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0" customHeight="1">
      <c r="A69" s="17"/>
      <c r="B69" s="13"/>
      <c r="C69" s="13"/>
      <c r="D69" s="13"/>
      <c r="E69" s="13"/>
      <c r="F69" s="13"/>
      <c r="G69" s="55">
        <f>SUM(G7:G59)</f>
        <v>52087.10485</v>
      </c>
      <c r="H69" s="18">
        <f>SUM(H7:H68)</f>
        <v>480.48</v>
      </c>
      <c r="I69" s="18">
        <f>SUM(I7:I57)</f>
        <v>430.5774556</v>
      </c>
      <c r="J69" s="18">
        <f>SUM(J7:J59)</f>
        <v>52979.90782</v>
      </c>
      <c r="K69" s="18">
        <f>SUM(K7:K55)</f>
        <v>0</v>
      </c>
      <c r="L69" s="18">
        <f>SUM(L7:L59)</f>
        <v>52979.90782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2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51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21.43"/>
    <col customWidth="1" min="14" max="28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9" t="s">
        <v>148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45422.0</v>
      </c>
      <c r="F7" s="31"/>
      <c r="G7" s="52">
        <v>4706.955218365449</v>
      </c>
      <c r="H7" s="32"/>
      <c r="I7" s="33">
        <f t="shared" ref="I7:I64" si="1">G7*0.83%</f>
        <v>39.06772831</v>
      </c>
      <c r="J7" s="33">
        <f t="shared" ref="J7:J64" si="2">G7+H7+I7</f>
        <v>4746.022947</v>
      </c>
      <c r="K7" s="30"/>
      <c r="L7" s="33">
        <f t="shared" ref="L7:L64" si="3">J7-K7</f>
        <v>4746.022947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45636.0</v>
      </c>
      <c r="F8" s="31"/>
      <c r="G8" s="52">
        <v>7887.381119282091</v>
      </c>
      <c r="H8" s="32">
        <v>30.0</v>
      </c>
      <c r="I8" s="33">
        <f t="shared" si="1"/>
        <v>65.46526329</v>
      </c>
      <c r="J8" s="33">
        <f t="shared" si="2"/>
        <v>7982.846383</v>
      </c>
      <c r="K8" s="30"/>
      <c r="L8" s="33">
        <f t="shared" si="3"/>
        <v>7982.846383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45636.0</v>
      </c>
      <c r="F9" s="31"/>
      <c r="G9" s="52">
        <v>7765.237200108639</v>
      </c>
      <c r="H9" s="32">
        <v>50.0</v>
      </c>
      <c r="I9" s="33">
        <f t="shared" si="1"/>
        <v>64.45146876</v>
      </c>
      <c r="J9" s="33">
        <f t="shared" si="2"/>
        <v>7879.688669</v>
      </c>
      <c r="K9" s="30"/>
      <c r="L9" s="33">
        <f t="shared" si="3"/>
        <v>7879.688669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4.75" customHeight="1">
      <c r="A10" s="24">
        <v>4.0</v>
      </c>
      <c r="B10" s="36" t="s">
        <v>35</v>
      </c>
      <c r="C10" s="36" t="s">
        <v>93</v>
      </c>
      <c r="D10" s="36" t="s">
        <v>92</v>
      </c>
      <c r="E10" s="37">
        <v>45171.0</v>
      </c>
      <c r="F10" s="37"/>
      <c r="G10" s="60">
        <v>3153.8680369179688</v>
      </c>
      <c r="H10" s="38"/>
      <c r="I10" s="38">
        <f t="shared" si="1"/>
        <v>26.17710471</v>
      </c>
      <c r="J10" s="38">
        <f t="shared" si="2"/>
        <v>3180.045142</v>
      </c>
      <c r="K10" s="61"/>
      <c r="L10" s="38">
        <f t="shared" si="3"/>
        <v>3180.045142</v>
      </c>
      <c r="M10" s="62" t="s">
        <v>149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45631.0</v>
      </c>
      <c r="F11" s="35"/>
      <c r="G11" s="52">
        <v>525.7562512467256</v>
      </c>
      <c r="H11" s="32">
        <v>20.0</v>
      </c>
      <c r="I11" s="32">
        <f t="shared" si="1"/>
        <v>4.363776885</v>
      </c>
      <c r="J11" s="32">
        <f t="shared" si="2"/>
        <v>550.1200281</v>
      </c>
      <c r="K11" s="34"/>
      <c r="L11" s="32">
        <f t="shared" si="3"/>
        <v>550.1200281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45383.0</v>
      </c>
      <c r="F12" s="35"/>
      <c r="G12" s="52">
        <v>319.7863829608862</v>
      </c>
      <c r="H12" s="32"/>
      <c r="I12" s="32">
        <f t="shared" si="1"/>
        <v>2.654226979</v>
      </c>
      <c r="J12" s="32">
        <f t="shared" si="2"/>
        <v>322.4406099</v>
      </c>
      <c r="K12" s="34"/>
      <c r="L12" s="32">
        <f t="shared" si="3"/>
        <v>322.4406099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45636.0</v>
      </c>
      <c r="F13" s="31"/>
      <c r="G13" s="52">
        <v>7604.078358311314</v>
      </c>
      <c r="H13" s="32">
        <v>83.8</v>
      </c>
      <c r="I13" s="33">
        <f t="shared" si="1"/>
        <v>63.11385037</v>
      </c>
      <c r="J13" s="33">
        <f t="shared" si="2"/>
        <v>7750.992209</v>
      </c>
      <c r="K13" s="30"/>
      <c r="L13" s="33">
        <f t="shared" si="3"/>
        <v>7750.992209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4.75" customHeight="1">
      <c r="A14" s="24">
        <v>8.0</v>
      </c>
      <c r="B14" s="36" t="s">
        <v>48</v>
      </c>
      <c r="C14" s="36" t="s">
        <v>91</v>
      </c>
      <c r="D14" s="36" t="s">
        <v>92</v>
      </c>
      <c r="E14" s="37">
        <v>45631.0</v>
      </c>
      <c r="F14" s="37"/>
      <c r="G14" s="60">
        <v>3723.179528997486</v>
      </c>
      <c r="H14" s="38">
        <v>50.0</v>
      </c>
      <c r="I14" s="38">
        <f t="shared" si="1"/>
        <v>30.90239009</v>
      </c>
      <c r="J14" s="38">
        <f t="shared" si="2"/>
        <v>3804.081919</v>
      </c>
      <c r="K14" s="36"/>
      <c r="L14" s="38">
        <f t="shared" si="3"/>
        <v>3804.081919</v>
      </c>
      <c r="M14" s="62" t="s">
        <v>150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4.75" customHeight="1">
      <c r="A15" s="41">
        <v>9.0</v>
      </c>
      <c r="B15" s="30" t="s">
        <v>146</v>
      </c>
      <c r="C15" s="30" t="s">
        <v>91</v>
      </c>
      <c r="D15" s="30" t="s">
        <v>94</v>
      </c>
      <c r="E15" s="31">
        <v>45630.0</v>
      </c>
      <c r="F15" s="31"/>
      <c r="G15" s="52">
        <v>3672.930528997486</v>
      </c>
      <c r="H15" s="32">
        <v>20.0</v>
      </c>
      <c r="I15" s="33">
        <f t="shared" si="1"/>
        <v>30.48532339</v>
      </c>
      <c r="J15" s="33">
        <f t="shared" si="2"/>
        <v>3723.415852</v>
      </c>
      <c r="K15" s="30"/>
      <c r="L15" s="33">
        <f t="shared" si="3"/>
        <v>3723.415852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4.75" customHeight="1">
      <c r="A16" s="41">
        <v>9.0</v>
      </c>
      <c r="B16" s="30" t="s">
        <v>49</v>
      </c>
      <c r="C16" s="30" t="s">
        <v>91</v>
      </c>
      <c r="D16" s="30" t="s">
        <v>94</v>
      </c>
      <c r="E16" s="31">
        <v>45629.0</v>
      </c>
      <c r="F16" s="31" t="s">
        <v>38</v>
      </c>
      <c r="G16" s="52">
        <v>156.49511410389061</v>
      </c>
      <c r="H16" s="32">
        <v>10.0</v>
      </c>
      <c r="I16" s="33">
        <f t="shared" si="1"/>
        <v>1.298909447</v>
      </c>
      <c r="J16" s="33">
        <f t="shared" si="2"/>
        <v>167.7940236</v>
      </c>
      <c r="K16" s="30"/>
      <c r="L16" s="33">
        <f t="shared" si="3"/>
        <v>167.7940236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4.75" customHeight="1">
      <c r="A17" s="41">
        <v>10.0</v>
      </c>
      <c r="B17" s="30" t="s">
        <v>58</v>
      </c>
      <c r="C17" s="30" t="s">
        <v>93</v>
      </c>
      <c r="D17" s="30" t="s">
        <v>94</v>
      </c>
      <c r="E17" s="31">
        <v>45383.0</v>
      </c>
      <c r="F17" s="31" t="s">
        <v>39</v>
      </c>
      <c r="G17" s="52">
        <v>371.67802976258065</v>
      </c>
      <c r="H17" s="32"/>
      <c r="I17" s="33">
        <f t="shared" si="1"/>
        <v>3.084927647</v>
      </c>
      <c r="J17" s="33">
        <f t="shared" si="2"/>
        <v>374.7629574</v>
      </c>
      <c r="K17" s="30"/>
      <c r="L17" s="33">
        <f t="shared" si="3"/>
        <v>374.7629574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4.75" customHeight="1">
      <c r="A18" s="41">
        <v>11.0</v>
      </c>
      <c r="B18" s="30" t="s">
        <v>51</v>
      </c>
      <c r="C18" s="30" t="s">
        <v>91</v>
      </c>
      <c r="D18" s="30" t="s">
        <v>94</v>
      </c>
      <c r="E18" s="31">
        <v>45294.0</v>
      </c>
      <c r="F18" s="31" t="s">
        <v>34</v>
      </c>
      <c r="G18" s="52">
        <v>112.09325326312185</v>
      </c>
      <c r="H18" s="32"/>
      <c r="I18" s="33">
        <f t="shared" si="1"/>
        <v>0.9303740021</v>
      </c>
      <c r="J18" s="33">
        <f t="shared" si="2"/>
        <v>113.0236273</v>
      </c>
      <c r="K18" s="30"/>
      <c r="L18" s="33">
        <f t="shared" si="3"/>
        <v>113.0236273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4.75" customHeight="1">
      <c r="A19" s="41">
        <v>12.0</v>
      </c>
      <c r="B19" s="30" t="s">
        <v>52</v>
      </c>
      <c r="C19" s="30" t="s">
        <v>91</v>
      </c>
      <c r="D19" s="30" t="s">
        <v>94</v>
      </c>
      <c r="E19" s="31">
        <v>45029.0</v>
      </c>
      <c r="F19" s="31" t="s">
        <v>38</v>
      </c>
      <c r="G19" s="52">
        <v>88.72915784381</v>
      </c>
      <c r="H19" s="32"/>
      <c r="I19" s="33">
        <f t="shared" si="1"/>
        <v>0.7364520101</v>
      </c>
      <c r="J19" s="33">
        <f t="shared" si="2"/>
        <v>89.46560985</v>
      </c>
      <c r="K19" s="30"/>
      <c r="L19" s="33">
        <f t="shared" si="3"/>
        <v>89.46560985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75" customHeight="1">
      <c r="A20" s="41">
        <v>13.0</v>
      </c>
      <c r="B20" s="30" t="s">
        <v>72</v>
      </c>
      <c r="C20" s="30" t="s">
        <v>91</v>
      </c>
      <c r="D20" s="30" t="s">
        <v>94</v>
      </c>
      <c r="E20" s="31">
        <v>45387.0</v>
      </c>
      <c r="F20" s="31" t="s">
        <v>38</v>
      </c>
      <c r="G20" s="52">
        <v>243.1591539998868</v>
      </c>
      <c r="H20" s="32"/>
      <c r="I20" s="32">
        <f t="shared" si="1"/>
        <v>2.018220978</v>
      </c>
      <c r="J20" s="32">
        <f t="shared" si="2"/>
        <v>245.177375</v>
      </c>
      <c r="K20" s="34"/>
      <c r="L20" s="32">
        <f t="shared" si="3"/>
        <v>245.177375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4.75" customHeight="1">
      <c r="A21" s="41">
        <v>14.0</v>
      </c>
      <c r="B21" s="34" t="s">
        <v>54</v>
      </c>
      <c r="C21" s="34" t="s">
        <v>91</v>
      </c>
      <c r="D21" s="30" t="s">
        <v>94</v>
      </c>
      <c r="E21" s="35">
        <v>45630.0</v>
      </c>
      <c r="F21" s="35" t="s">
        <v>34</v>
      </c>
      <c r="G21" s="52">
        <v>1750.988282388052</v>
      </c>
      <c r="H21" s="32">
        <v>100.0</v>
      </c>
      <c r="I21" s="33">
        <f t="shared" si="1"/>
        <v>14.53320274</v>
      </c>
      <c r="J21" s="33">
        <f t="shared" si="2"/>
        <v>1865.521485</v>
      </c>
      <c r="K21" s="30"/>
      <c r="L21" s="33">
        <f t="shared" si="3"/>
        <v>1865.521485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4.75" customHeight="1">
      <c r="A22" s="41">
        <v>15.0</v>
      </c>
      <c r="B22" s="30" t="s">
        <v>55</v>
      </c>
      <c r="C22" s="30" t="s">
        <v>91</v>
      </c>
      <c r="D22" s="30" t="s">
        <v>94</v>
      </c>
      <c r="E22" s="31">
        <v>45636.0</v>
      </c>
      <c r="F22" s="31" t="s">
        <v>33</v>
      </c>
      <c r="G22" s="52">
        <v>253.12631418864626</v>
      </c>
      <c r="H22" s="32">
        <v>25.0</v>
      </c>
      <c r="I22" s="33">
        <f t="shared" si="1"/>
        <v>2.100948408</v>
      </c>
      <c r="J22" s="33">
        <f t="shared" si="2"/>
        <v>280.2272626</v>
      </c>
      <c r="K22" s="30"/>
      <c r="L22" s="33">
        <f t="shared" si="3"/>
        <v>280.2272626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4.75" customHeight="1">
      <c r="A23" s="41">
        <v>16.0</v>
      </c>
      <c r="B23" s="30" t="s">
        <v>40</v>
      </c>
      <c r="C23" s="30" t="s">
        <v>91</v>
      </c>
      <c r="D23" s="30" t="s">
        <v>94</v>
      </c>
      <c r="E23" s="31">
        <v>45633.0</v>
      </c>
      <c r="F23" s="31" t="s">
        <v>38</v>
      </c>
      <c r="G23" s="52">
        <v>1994.01820878881</v>
      </c>
      <c r="H23" s="39">
        <v>50.0</v>
      </c>
      <c r="I23" s="32">
        <f t="shared" si="1"/>
        <v>16.55035113</v>
      </c>
      <c r="J23" s="32">
        <f t="shared" si="2"/>
        <v>2060.56856</v>
      </c>
      <c r="K23" s="34"/>
      <c r="L23" s="32">
        <f t="shared" si="3"/>
        <v>2060.56856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4.75" customHeight="1">
      <c r="A24" s="41">
        <v>17.0</v>
      </c>
      <c r="B24" s="34" t="s">
        <v>41</v>
      </c>
      <c r="C24" s="34" t="s">
        <v>91</v>
      </c>
      <c r="D24" s="30" t="s">
        <v>94</v>
      </c>
      <c r="E24" s="35">
        <v>45631.0</v>
      </c>
      <c r="F24" s="35" t="s">
        <v>34</v>
      </c>
      <c r="G24" s="52">
        <v>321.01893850652374</v>
      </c>
      <c r="H24" s="39">
        <v>20.0</v>
      </c>
      <c r="I24" s="33">
        <f t="shared" si="1"/>
        <v>2.66445719</v>
      </c>
      <c r="J24" s="33">
        <f t="shared" si="2"/>
        <v>343.6833957</v>
      </c>
      <c r="K24" s="30"/>
      <c r="L24" s="33">
        <f t="shared" si="3"/>
        <v>343.6833957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4.75" customHeight="1">
      <c r="A25" s="41">
        <v>18.0</v>
      </c>
      <c r="B25" s="30" t="s">
        <v>95</v>
      </c>
      <c r="C25" s="30" t="s">
        <v>93</v>
      </c>
      <c r="D25" s="30" t="s">
        <v>94</v>
      </c>
      <c r="E25" s="31">
        <v>45631.0</v>
      </c>
      <c r="F25" s="31" t="s">
        <v>39</v>
      </c>
      <c r="G25" s="52">
        <v>664.0182907623386</v>
      </c>
      <c r="H25" s="39">
        <v>10.0</v>
      </c>
      <c r="I25" s="33">
        <f t="shared" si="1"/>
        <v>5.511351813</v>
      </c>
      <c r="J25" s="33">
        <f t="shared" si="2"/>
        <v>679.5296426</v>
      </c>
      <c r="K25" s="30"/>
      <c r="L25" s="33">
        <f t="shared" si="3"/>
        <v>679.5296426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4.75" customHeight="1">
      <c r="A26" s="24">
        <v>19.0</v>
      </c>
      <c r="B26" s="36" t="s">
        <v>96</v>
      </c>
      <c r="C26" s="36" t="s">
        <v>91</v>
      </c>
      <c r="D26" s="36" t="s">
        <v>94</v>
      </c>
      <c r="E26" s="37">
        <v>45388.0</v>
      </c>
      <c r="F26" s="37" t="s">
        <v>33</v>
      </c>
      <c r="G26" s="60">
        <v>255.89728793337179</v>
      </c>
      <c r="H26" s="56"/>
      <c r="I26" s="38">
        <f t="shared" si="1"/>
        <v>2.12394749</v>
      </c>
      <c r="J26" s="38">
        <f t="shared" si="2"/>
        <v>258.0212354</v>
      </c>
      <c r="K26" s="36">
        <v>258.02</v>
      </c>
      <c r="L26" s="38">
        <f t="shared" si="3"/>
        <v>0.001235423219</v>
      </c>
      <c r="M26" s="62" t="s">
        <v>151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4.75" customHeight="1">
      <c r="A27" s="41">
        <v>20.0</v>
      </c>
      <c r="B27" s="34" t="s">
        <v>97</v>
      </c>
      <c r="C27" s="30" t="s">
        <v>93</v>
      </c>
      <c r="D27" s="30" t="s">
        <v>94</v>
      </c>
      <c r="E27" s="31">
        <v>45386.0</v>
      </c>
      <c r="F27" s="31" t="s">
        <v>34</v>
      </c>
      <c r="G27" s="52">
        <v>83.12178925209199</v>
      </c>
      <c r="H27" s="39"/>
      <c r="I27" s="32">
        <f t="shared" si="1"/>
        <v>0.6899108508</v>
      </c>
      <c r="J27" s="32">
        <f t="shared" si="2"/>
        <v>83.8117001</v>
      </c>
      <c r="K27" s="34"/>
      <c r="L27" s="32">
        <f t="shared" si="3"/>
        <v>83.8117001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4.75" customHeight="1">
      <c r="A28" s="41">
        <v>21.0</v>
      </c>
      <c r="B28" s="34" t="s">
        <v>98</v>
      </c>
      <c r="C28" s="34" t="s">
        <v>93</v>
      </c>
      <c r="D28" s="30" t="s">
        <v>94</v>
      </c>
      <c r="E28" s="35">
        <v>45140.0</v>
      </c>
      <c r="F28" s="35" t="s">
        <v>38</v>
      </c>
      <c r="G28" s="52">
        <v>122.01124586398367</v>
      </c>
      <c r="H28" s="39"/>
      <c r="I28" s="33">
        <f t="shared" si="1"/>
        <v>1.012693341</v>
      </c>
      <c r="J28" s="33">
        <f t="shared" si="2"/>
        <v>123.0239392</v>
      </c>
      <c r="K28" s="30"/>
      <c r="L28" s="33">
        <f t="shared" si="3"/>
        <v>123.0239392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4.75" customHeight="1">
      <c r="A29" s="41">
        <v>22.0</v>
      </c>
      <c r="B29" s="30" t="s">
        <v>61</v>
      </c>
      <c r="C29" s="30" t="s">
        <v>91</v>
      </c>
      <c r="D29" s="30" t="s">
        <v>94</v>
      </c>
      <c r="E29" s="31">
        <v>45235.0</v>
      </c>
      <c r="F29" s="31" t="s">
        <v>38</v>
      </c>
      <c r="G29" s="52">
        <v>143.64729357157623</v>
      </c>
      <c r="H29" s="39"/>
      <c r="I29" s="33">
        <f t="shared" si="1"/>
        <v>1.192272537</v>
      </c>
      <c r="J29" s="33">
        <f t="shared" si="2"/>
        <v>144.8395661</v>
      </c>
      <c r="K29" s="30"/>
      <c r="L29" s="33">
        <f t="shared" si="3"/>
        <v>144.8395661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4.75" customHeight="1">
      <c r="A30" s="41">
        <v>23.0</v>
      </c>
      <c r="B30" s="30" t="s">
        <v>63</v>
      </c>
      <c r="C30" s="30" t="s">
        <v>91</v>
      </c>
      <c r="D30" s="30" t="s">
        <v>94</v>
      </c>
      <c r="E30" s="31">
        <v>45422.0</v>
      </c>
      <c r="F30" s="31" t="s">
        <v>39</v>
      </c>
      <c r="G30" s="52">
        <v>1035.5546376283116</v>
      </c>
      <c r="H30" s="39"/>
      <c r="I30" s="33">
        <f t="shared" si="1"/>
        <v>8.595103492</v>
      </c>
      <c r="J30" s="33">
        <f t="shared" si="2"/>
        <v>1044.149741</v>
      </c>
      <c r="K30" s="30"/>
      <c r="L30" s="33">
        <f t="shared" si="3"/>
        <v>1044.149741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4.75" customHeight="1">
      <c r="A31" s="41">
        <v>24.0</v>
      </c>
      <c r="B31" s="34" t="s">
        <v>64</v>
      </c>
      <c r="C31" s="30" t="s">
        <v>91</v>
      </c>
      <c r="D31" s="30" t="s">
        <v>94</v>
      </c>
      <c r="E31" s="31">
        <v>45420.0</v>
      </c>
      <c r="F31" s="31" t="s">
        <v>40</v>
      </c>
      <c r="G31" s="52">
        <v>677.2232844911135</v>
      </c>
      <c r="H31" s="39"/>
      <c r="I31" s="33">
        <f t="shared" si="1"/>
        <v>5.620953261</v>
      </c>
      <c r="J31" s="33">
        <f t="shared" si="2"/>
        <v>682.8442378</v>
      </c>
      <c r="K31" s="30"/>
      <c r="L31" s="33">
        <f t="shared" si="3"/>
        <v>682.8442378</v>
      </c>
      <c r="M31" s="4">
        <v>176.31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4.75" customHeight="1">
      <c r="A32" s="41">
        <v>25.0</v>
      </c>
      <c r="B32" s="30" t="s">
        <v>65</v>
      </c>
      <c r="C32" s="30" t="s">
        <v>91</v>
      </c>
      <c r="D32" s="30" t="s">
        <v>94</v>
      </c>
      <c r="E32" s="31">
        <v>45383.0</v>
      </c>
      <c r="F32" s="31" t="s">
        <v>39</v>
      </c>
      <c r="G32" s="52">
        <v>44.48771372157703</v>
      </c>
      <c r="H32" s="39"/>
      <c r="I32" s="33">
        <f t="shared" si="1"/>
        <v>0.3692480239</v>
      </c>
      <c r="J32" s="33">
        <f t="shared" si="2"/>
        <v>44.85696175</v>
      </c>
      <c r="K32" s="30"/>
      <c r="L32" s="33">
        <f t="shared" si="3"/>
        <v>44.85696175</v>
      </c>
      <c r="M32" s="4">
        <v>258.02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4.75" customHeight="1">
      <c r="A33" s="41">
        <v>26.0</v>
      </c>
      <c r="B33" s="30" t="s">
        <v>66</v>
      </c>
      <c r="C33" s="30" t="s">
        <v>91</v>
      </c>
      <c r="D33" s="30" t="s">
        <v>94</v>
      </c>
      <c r="E33" s="31">
        <v>45209.0</v>
      </c>
      <c r="F33" s="31" t="s">
        <v>33</v>
      </c>
      <c r="G33" s="52">
        <v>68.21586029115065</v>
      </c>
      <c r="H33" s="39"/>
      <c r="I33" s="33">
        <f t="shared" si="1"/>
        <v>0.5661916404</v>
      </c>
      <c r="J33" s="33">
        <f t="shared" si="2"/>
        <v>68.78205193</v>
      </c>
      <c r="K33" s="30"/>
      <c r="L33" s="33">
        <f t="shared" si="3"/>
        <v>68.78205193</v>
      </c>
      <c r="M33" s="4">
        <v>3000.0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4.75" customHeight="1">
      <c r="A34" s="41">
        <v>27.0</v>
      </c>
      <c r="B34" s="30" t="s">
        <v>99</v>
      </c>
      <c r="C34" s="30" t="s">
        <v>91</v>
      </c>
      <c r="D34" s="30" t="s">
        <v>94</v>
      </c>
      <c r="E34" s="31">
        <v>45085.0</v>
      </c>
      <c r="F34" s="31" t="s">
        <v>38</v>
      </c>
      <c r="G34" s="52">
        <v>230.17021499434742</v>
      </c>
      <c r="H34" s="32"/>
      <c r="I34" s="33">
        <f t="shared" si="1"/>
        <v>1.910412784</v>
      </c>
      <c r="J34" s="33">
        <f t="shared" si="2"/>
        <v>232.0806278</v>
      </c>
      <c r="K34" s="30"/>
      <c r="L34" s="33">
        <f t="shared" si="3"/>
        <v>232.0806278</v>
      </c>
      <c r="M34" s="4">
        <v>2000.0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4.75" customHeight="1">
      <c r="A35" s="41">
        <v>28.0</v>
      </c>
      <c r="B35" s="30" t="s">
        <v>100</v>
      </c>
      <c r="C35" s="30" t="s">
        <v>93</v>
      </c>
      <c r="D35" s="30" t="s">
        <v>94</v>
      </c>
      <c r="E35" s="31">
        <v>45427.0</v>
      </c>
      <c r="F35" s="31" t="s">
        <v>39</v>
      </c>
      <c r="G35" s="52">
        <v>70.08819529455869</v>
      </c>
      <c r="H35" s="32"/>
      <c r="I35" s="33">
        <f t="shared" si="1"/>
        <v>0.5817320209</v>
      </c>
      <c r="J35" s="33">
        <f t="shared" si="2"/>
        <v>70.66992732</v>
      </c>
      <c r="K35" s="30"/>
      <c r="L35" s="33">
        <f t="shared" si="3"/>
        <v>70.66992732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4.75" customHeight="1">
      <c r="A36" s="41">
        <v>29.0</v>
      </c>
      <c r="B36" s="30" t="s">
        <v>101</v>
      </c>
      <c r="C36" s="30" t="s">
        <v>93</v>
      </c>
      <c r="D36" s="30" t="s">
        <v>94</v>
      </c>
      <c r="E36" s="31">
        <v>45235.0</v>
      </c>
      <c r="F36" s="31"/>
      <c r="G36" s="52">
        <v>1105.6535397710018</v>
      </c>
      <c r="H36" s="32"/>
      <c r="I36" s="33">
        <f t="shared" si="1"/>
        <v>9.17692438</v>
      </c>
      <c r="J36" s="33">
        <f t="shared" si="2"/>
        <v>1114.830464</v>
      </c>
      <c r="K36" s="30"/>
      <c r="L36" s="33">
        <f t="shared" si="3"/>
        <v>1114.830464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0.0" customHeight="1">
      <c r="A37" s="41">
        <v>30.0</v>
      </c>
      <c r="B37" s="30" t="s">
        <v>102</v>
      </c>
      <c r="C37" s="30"/>
      <c r="D37" s="30" t="s">
        <v>94</v>
      </c>
      <c r="E37" s="31">
        <v>45235.0</v>
      </c>
      <c r="F37" s="31"/>
      <c r="G37" s="52">
        <v>16.610708720274793</v>
      </c>
      <c r="H37" s="32"/>
      <c r="I37" s="33">
        <f t="shared" si="1"/>
        <v>0.1378688824</v>
      </c>
      <c r="J37" s="33">
        <f t="shared" si="2"/>
        <v>16.7485776</v>
      </c>
      <c r="K37" s="30"/>
      <c r="L37" s="33">
        <f t="shared" si="3"/>
        <v>16.7485776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0.0" customHeight="1">
      <c r="A38" s="41">
        <v>31.0</v>
      </c>
      <c r="B38" s="30" t="s">
        <v>104</v>
      </c>
      <c r="C38" s="30"/>
      <c r="D38" s="30" t="s">
        <v>94</v>
      </c>
      <c r="E38" s="31">
        <v>45633.0</v>
      </c>
      <c r="F38" s="31"/>
      <c r="G38" s="52">
        <v>190.05603034843006</v>
      </c>
      <c r="H38" s="32">
        <v>15.0</v>
      </c>
      <c r="I38" s="33">
        <f t="shared" si="1"/>
        <v>1.577465052</v>
      </c>
      <c r="J38" s="33">
        <f t="shared" si="2"/>
        <v>206.6334954</v>
      </c>
      <c r="K38" s="30"/>
      <c r="L38" s="33">
        <f t="shared" si="3"/>
        <v>206.6334954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0.0" customHeight="1">
      <c r="A39" s="41">
        <v>32.0</v>
      </c>
      <c r="B39" s="34" t="s">
        <v>105</v>
      </c>
      <c r="C39" s="34"/>
      <c r="D39" s="34" t="s">
        <v>94</v>
      </c>
      <c r="E39" s="35">
        <v>45420.0</v>
      </c>
      <c r="F39" s="35"/>
      <c r="G39" s="52">
        <v>256.7526282578746</v>
      </c>
      <c r="H39" s="32"/>
      <c r="I39" s="32">
        <f t="shared" si="1"/>
        <v>2.131046815</v>
      </c>
      <c r="J39" s="32">
        <f t="shared" si="2"/>
        <v>258.8836751</v>
      </c>
      <c r="K39" s="34"/>
      <c r="L39" s="32">
        <f t="shared" si="3"/>
        <v>258.8836751</v>
      </c>
      <c r="M39" s="63" t="s">
        <v>151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</row>
    <row r="40" ht="30.0" customHeight="1">
      <c r="A40" s="41">
        <v>33.0</v>
      </c>
      <c r="B40" s="34" t="s">
        <v>106</v>
      </c>
      <c r="C40" s="34"/>
      <c r="D40" s="34" t="s">
        <v>94</v>
      </c>
      <c r="E40" s="35">
        <v>45628.0</v>
      </c>
      <c r="F40" s="35"/>
      <c r="G40" s="52">
        <v>142.55571113670877</v>
      </c>
      <c r="H40" s="32">
        <v>10.0</v>
      </c>
      <c r="I40" s="32">
        <f t="shared" si="1"/>
        <v>1.183212402</v>
      </c>
      <c r="J40" s="32">
        <f t="shared" si="2"/>
        <v>153.7389235</v>
      </c>
      <c r="K40" s="34"/>
      <c r="L40" s="32">
        <f t="shared" si="3"/>
        <v>153.7389235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</row>
    <row r="41" ht="30.0" customHeight="1">
      <c r="A41" s="41">
        <v>34.0</v>
      </c>
      <c r="B41" s="34" t="s">
        <v>107</v>
      </c>
      <c r="C41" s="34"/>
      <c r="D41" s="34" t="s">
        <v>94</v>
      </c>
      <c r="E41" s="35">
        <v>45414.0</v>
      </c>
      <c r="F41" s="35"/>
      <c r="G41" s="52">
        <v>215.4862772410733</v>
      </c>
      <c r="H41" s="32"/>
      <c r="I41" s="32">
        <f t="shared" si="1"/>
        <v>1.788536101</v>
      </c>
      <c r="J41" s="32">
        <f t="shared" si="2"/>
        <v>217.2748133</v>
      </c>
      <c r="K41" s="34"/>
      <c r="L41" s="32">
        <f t="shared" si="3"/>
        <v>217.2748133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</row>
    <row r="42" ht="30.0" customHeight="1">
      <c r="A42" s="41">
        <v>35.0</v>
      </c>
      <c r="B42" s="34" t="s">
        <v>108</v>
      </c>
      <c r="C42" s="34"/>
      <c r="D42" s="34" t="s">
        <v>94</v>
      </c>
      <c r="E42" s="35">
        <v>45330.0</v>
      </c>
      <c r="F42" s="35"/>
      <c r="G42" s="52">
        <v>59.9739585372435</v>
      </c>
      <c r="H42" s="32"/>
      <c r="I42" s="32">
        <f t="shared" si="1"/>
        <v>0.4977838559</v>
      </c>
      <c r="J42" s="32">
        <f t="shared" si="2"/>
        <v>60.47174239</v>
      </c>
      <c r="K42" s="34"/>
      <c r="L42" s="32">
        <f t="shared" si="3"/>
        <v>60.47174239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</row>
    <row r="43" ht="30.0" customHeight="1">
      <c r="A43" s="41">
        <v>36.0</v>
      </c>
      <c r="B43" s="34" t="s">
        <v>109</v>
      </c>
      <c r="C43" s="34"/>
      <c r="D43" s="34" t="s">
        <v>94</v>
      </c>
      <c r="E43" s="35">
        <v>45333.0</v>
      </c>
      <c r="F43" s="35"/>
      <c r="G43" s="52">
        <v>183.81263100854355</v>
      </c>
      <c r="H43" s="32"/>
      <c r="I43" s="32">
        <f t="shared" si="1"/>
        <v>1.525644837</v>
      </c>
      <c r="J43" s="32">
        <f t="shared" si="2"/>
        <v>185.3382758</v>
      </c>
      <c r="K43" s="34"/>
      <c r="L43" s="32">
        <f t="shared" si="3"/>
        <v>185.3382758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</row>
    <row r="44" ht="30.0" customHeight="1">
      <c r="A44" s="41">
        <v>37.0</v>
      </c>
      <c r="B44" s="34" t="s">
        <v>110</v>
      </c>
      <c r="C44" s="34"/>
      <c r="D44" s="34" t="s">
        <v>94</v>
      </c>
      <c r="E44" s="35">
        <v>45418.0</v>
      </c>
      <c r="F44" s="35"/>
      <c r="G44" s="52">
        <v>174.85843659611442</v>
      </c>
      <c r="H44" s="32"/>
      <c r="I44" s="32">
        <f t="shared" si="1"/>
        <v>1.451325024</v>
      </c>
      <c r="J44" s="32">
        <f t="shared" si="2"/>
        <v>176.3097616</v>
      </c>
      <c r="K44" s="34">
        <v>176.31</v>
      </c>
      <c r="L44" s="32">
        <f t="shared" si="3"/>
        <v>-0.0002383801378</v>
      </c>
      <c r="M44" s="63" t="s">
        <v>151</v>
      </c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</row>
    <row r="45" ht="30.0" customHeight="1">
      <c r="A45" s="41">
        <v>38.0</v>
      </c>
      <c r="B45" s="34" t="s">
        <v>111</v>
      </c>
      <c r="C45" s="34"/>
      <c r="D45" s="34" t="s">
        <v>94</v>
      </c>
      <c r="E45" s="35">
        <v>45333.0</v>
      </c>
      <c r="F45" s="35"/>
      <c r="G45" s="52">
        <v>55.31970552685731</v>
      </c>
      <c r="H45" s="32"/>
      <c r="I45" s="32">
        <f t="shared" si="1"/>
        <v>0.4591535559</v>
      </c>
      <c r="J45" s="32">
        <f t="shared" si="2"/>
        <v>55.77885908</v>
      </c>
      <c r="K45" s="34"/>
      <c r="L45" s="32">
        <f t="shared" si="3"/>
        <v>55.77885908</v>
      </c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</row>
    <row r="46" ht="30.0" customHeight="1">
      <c r="A46" s="41">
        <v>39.0</v>
      </c>
      <c r="B46" s="34" t="s">
        <v>112</v>
      </c>
      <c r="C46" s="34"/>
      <c r="D46" s="34" t="s">
        <v>94</v>
      </c>
      <c r="E46" s="35">
        <v>45245.0</v>
      </c>
      <c r="F46" s="35"/>
      <c r="G46" s="52">
        <v>22.177153094414642</v>
      </c>
      <c r="H46" s="32"/>
      <c r="I46" s="32">
        <f t="shared" si="1"/>
        <v>0.1840703707</v>
      </c>
      <c r="J46" s="32">
        <f t="shared" si="2"/>
        <v>22.36122347</v>
      </c>
      <c r="K46" s="34"/>
      <c r="L46" s="32">
        <f t="shared" si="3"/>
        <v>22.36122347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</row>
    <row r="47" ht="30.0" customHeight="1">
      <c r="A47" s="41">
        <v>40.0</v>
      </c>
      <c r="B47" s="34" t="s">
        <v>116</v>
      </c>
      <c r="C47" s="34"/>
      <c r="D47" s="34" t="s">
        <v>94</v>
      </c>
      <c r="E47" s="35">
        <v>45293.0</v>
      </c>
      <c r="F47" s="35"/>
      <c r="G47" s="52">
        <v>10.861696710601073</v>
      </c>
      <c r="H47" s="32"/>
      <c r="I47" s="32">
        <f t="shared" si="1"/>
        <v>0.0901520827</v>
      </c>
      <c r="J47" s="32">
        <f t="shared" si="2"/>
        <v>10.95184879</v>
      </c>
      <c r="K47" s="34"/>
      <c r="L47" s="32">
        <f t="shared" si="3"/>
        <v>10.95184879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</row>
    <row r="48" ht="30.0" customHeight="1">
      <c r="A48" s="41">
        <v>41.0</v>
      </c>
      <c r="B48" s="30" t="s">
        <v>117</v>
      </c>
      <c r="C48" s="30"/>
      <c r="D48" s="30" t="s">
        <v>94</v>
      </c>
      <c r="E48" s="31">
        <v>45414.0</v>
      </c>
      <c r="F48" s="31"/>
      <c r="G48" s="52">
        <v>420.88866143486524</v>
      </c>
      <c r="H48" s="32"/>
      <c r="I48" s="33">
        <f t="shared" si="1"/>
        <v>3.49337589</v>
      </c>
      <c r="J48" s="33">
        <f t="shared" si="2"/>
        <v>424.3820373</v>
      </c>
      <c r="K48" s="30"/>
      <c r="L48" s="33">
        <f t="shared" si="3"/>
        <v>424.3820373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0.0" customHeight="1">
      <c r="A49" s="41">
        <v>42.0</v>
      </c>
      <c r="B49" s="30" t="s">
        <v>118</v>
      </c>
      <c r="C49" s="30"/>
      <c r="D49" s="30" t="s">
        <v>94</v>
      </c>
      <c r="E49" s="31">
        <v>45303.0</v>
      </c>
      <c r="F49" s="31"/>
      <c r="G49" s="52">
        <v>21.723393421202147</v>
      </c>
      <c r="H49" s="32"/>
      <c r="I49" s="33">
        <f t="shared" si="1"/>
        <v>0.1803041654</v>
      </c>
      <c r="J49" s="33">
        <f t="shared" si="2"/>
        <v>21.90369759</v>
      </c>
      <c r="K49" s="30"/>
      <c r="L49" s="33">
        <f t="shared" si="3"/>
        <v>21.90369759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0.0" customHeight="1">
      <c r="A50" s="41">
        <v>43.0</v>
      </c>
      <c r="B50" s="30" t="s">
        <v>120</v>
      </c>
      <c r="C50" s="30"/>
      <c r="D50" s="30" t="s">
        <v>94</v>
      </c>
      <c r="E50" s="31">
        <v>45632.0</v>
      </c>
      <c r="F50" s="31"/>
      <c r="G50" s="32">
        <v>103.81888079531029</v>
      </c>
      <c r="H50" s="32">
        <v>10.0</v>
      </c>
      <c r="I50" s="33">
        <f t="shared" si="1"/>
        <v>0.8616967106</v>
      </c>
      <c r="J50" s="33">
        <f t="shared" si="2"/>
        <v>114.6805775</v>
      </c>
      <c r="K50" s="30"/>
      <c r="L50" s="33">
        <f t="shared" si="3"/>
        <v>114.6805775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0.0" customHeight="1">
      <c r="A51" s="41">
        <v>44.0</v>
      </c>
      <c r="B51" s="30" t="s">
        <v>121</v>
      </c>
      <c r="C51" s="30"/>
      <c r="D51" s="30" t="s">
        <v>94</v>
      </c>
      <c r="E51" s="31">
        <v>45324.0</v>
      </c>
      <c r="F51" s="31"/>
      <c r="G51" s="52">
        <v>10.772286730735965</v>
      </c>
      <c r="H51" s="32"/>
      <c r="I51" s="33">
        <f t="shared" si="1"/>
        <v>0.08940997987</v>
      </c>
      <c r="J51" s="33">
        <f t="shared" si="2"/>
        <v>10.86169671</v>
      </c>
      <c r="K51" s="30"/>
      <c r="L51" s="33">
        <f t="shared" si="3"/>
        <v>10.86169671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0.0" customHeight="1">
      <c r="A52" s="41">
        <v>45.0</v>
      </c>
      <c r="B52" s="30" t="s">
        <v>124</v>
      </c>
      <c r="C52" s="30"/>
      <c r="D52" s="30" t="s">
        <v>94</v>
      </c>
      <c r="E52" s="31">
        <v>45332.0</v>
      </c>
      <c r="F52" s="31"/>
      <c r="G52" s="53">
        <v>61.60920436754429</v>
      </c>
      <c r="H52" s="32">
        <v>10.0</v>
      </c>
      <c r="I52" s="33">
        <f t="shared" si="1"/>
        <v>0.5113563963</v>
      </c>
      <c r="J52" s="33">
        <f t="shared" si="2"/>
        <v>72.12056076</v>
      </c>
      <c r="K52" s="13"/>
      <c r="L52" s="33">
        <f t="shared" si="3"/>
        <v>72.12056076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0.0" customHeight="1">
      <c r="A53" s="41">
        <v>46.0</v>
      </c>
      <c r="B53" s="13" t="s">
        <v>125</v>
      </c>
      <c r="C53" s="13"/>
      <c r="D53" s="30" t="s">
        <v>94</v>
      </c>
      <c r="E53" s="14">
        <v>45423.0</v>
      </c>
      <c r="F53" s="14"/>
      <c r="G53" s="53">
        <v>105.60853038230493</v>
      </c>
      <c r="H53" s="32"/>
      <c r="I53" s="33">
        <f t="shared" si="1"/>
        <v>0.8765508022</v>
      </c>
      <c r="J53" s="33">
        <f t="shared" si="2"/>
        <v>106.4850812</v>
      </c>
      <c r="K53" s="13"/>
      <c r="L53" s="33">
        <f t="shared" si="3"/>
        <v>106.4850812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0.0" customHeight="1">
      <c r="A54" s="41">
        <v>47.0</v>
      </c>
      <c r="B54" s="54" t="s">
        <v>126</v>
      </c>
      <c r="C54" s="13"/>
      <c r="D54" s="30" t="s">
        <v>94</v>
      </c>
      <c r="E54" s="14">
        <v>45631.0</v>
      </c>
      <c r="F54" s="14"/>
      <c r="G54" s="53">
        <v>264.2733483935558</v>
      </c>
      <c r="H54" s="32">
        <v>5.0</v>
      </c>
      <c r="I54" s="33">
        <f t="shared" si="1"/>
        <v>2.193468792</v>
      </c>
      <c r="J54" s="33">
        <f t="shared" si="2"/>
        <v>271.4668172</v>
      </c>
      <c r="K54" s="13"/>
      <c r="L54" s="33">
        <f t="shared" si="3"/>
        <v>271.4668172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0.0" customHeight="1">
      <c r="A55" s="41">
        <v>48.0</v>
      </c>
      <c r="B55" s="13" t="s">
        <v>127</v>
      </c>
      <c r="C55" s="13"/>
      <c r="D55" s="30" t="s">
        <v>94</v>
      </c>
      <c r="E55" s="14">
        <v>45420.0</v>
      </c>
      <c r="F55" s="14"/>
      <c r="G55" s="53">
        <v>42.38412263318873</v>
      </c>
      <c r="H55" s="32"/>
      <c r="I55" s="33">
        <f t="shared" si="1"/>
        <v>0.3517882179</v>
      </c>
      <c r="J55" s="33">
        <f t="shared" si="2"/>
        <v>42.73591085</v>
      </c>
      <c r="K55" s="13"/>
      <c r="L55" s="33">
        <f t="shared" si="3"/>
        <v>42.73591085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0.0" customHeight="1">
      <c r="A56" s="41">
        <v>49.0</v>
      </c>
      <c r="B56" s="13" t="s">
        <v>128</v>
      </c>
      <c r="C56" s="13"/>
      <c r="D56" s="30" t="s">
        <v>94</v>
      </c>
      <c r="E56" s="14">
        <v>45631.0</v>
      </c>
      <c r="F56" s="14"/>
      <c r="G56" s="53">
        <v>93.04659406457432</v>
      </c>
      <c r="H56" s="32">
        <v>10.0</v>
      </c>
      <c r="I56" s="33">
        <f t="shared" si="1"/>
        <v>0.7722867307</v>
      </c>
      <c r="J56" s="33">
        <f t="shared" si="2"/>
        <v>103.8188808</v>
      </c>
      <c r="K56" s="13"/>
      <c r="L56" s="33">
        <f t="shared" si="3"/>
        <v>103.8188808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0.0" customHeight="1">
      <c r="A57" s="41">
        <v>50.0</v>
      </c>
      <c r="B57" s="13" t="s">
        <v>129</v>
      </c>
      <c r="C57" s="13"/>
      <c r="D57" s="30" t="s">
        <v>94</v>
      </c>
      <c r="E57" s="14">
        <v>45637.0</v>
      </c>
      <c r="F57" s="14" t="s">
        <v>101</v>
      </c>
      <c r="G57" s="53">
        <v>1094.700940557223</v>
      </c>
      <c r="H57" s="32">
        <v>10.0</v>
      </c>
      <c r="I57" s="33">
        <f t="shared" si="1"/>
        <v>9.086017807</v>
      </c>
      <c r="J57" s="33">
        <f t="shared" si="2"/>
        <v>1113.786958</v>
      </c>
      <c r="K57" s="13"/>
      <c r="L57" s="33">
        <f t="shared" si="3"/>
        <v>1113.786958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30.0" customHeight="1">
      <c r="A58" s="41">
        <v>50.0</v>
      </c>
      <c r="B58" s="13" t="s">
        <v>132</v>
      </c>
      <c r="C58" s="13"/>
      <c r="D58" s="30" t="s">
        <v>94</v>
      </c>
      <c r="E58" s="14">
        <v>45420.0</v>
      </c>
      <c r="F58" s="14"/>
      <c r="G58" s="53">
        <v>15.806282919034572</v>
      </c>
      <c r="H58" s="32"/>
      <c r="I58" s="33">
        <f t="shared" si="1"/>
        <v>0.1311921482</v>
      </c>
      <c r="J58" s="33">
        <f t="shared" si="2"/>
        <v>15.93747507</v>
      </c>
      <c r="K58" s="13"/>
      <c r="L58" s="33">
        <f t="shared" si="3"/>
        <v>15.93747507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30.0" customHeight="1">
      <c r="A59" s="41">
        <v>51.0</v>
      </c>
      <c r="B59" s="13" t="s">
        <v>133</v>
      </c>
      <c r="C59" s="13"/>
      <c r="D59" s="30" t="s">
        <v>94</v>
      </c>
      <c r="E59" s="14">
        <v>45636.0</v>
      </c>
      <c r="F59" s="14"/>
      <c r="G59" s="59">
        <v>266.24220284620833</v>
      </c>
      <c r="H59" s="32">
        <v>140.0</v>
      </c>
      <c r="I59" s="33">
        <f t="shared" si="1"/>
        <v>2.209810284</v>
      </c>
      <c r="J59" s="33">
        <f t="shared" si="2"/>
        <v>408.4520131</v>
      </c>
      <c r="K59" s="13"/>
      <c r="L59" s="33">
        <f t="shared" si="3"/>
        <v>408.4520131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0.0" customHeight="1">
      <c r="A60" s="41">
        <v>52.0</v>
      </c>
      <c r="B60" s="30" t="s">
        <v>134</v>
      </c>
      <c r="C60" s="13"/>
      <c r="D60" s="30" t="s">
        <v>94</v>
      </c>
      <c r="E60" s="14">
        <v>45390.0</v>
      </c>
      <c r="F60" s="14" t="s">
        <v>131</v>
      </c>
      <c r="G60" s="53">
        <v>21.104117266427643</v>
      </c>
      <c r="H60" s="32"/>
      <c r="I60" s="33">
        <f t="shared" si="1"/>
        <v>0.1751641733</v>
      </c>
      <c r="J60" s="33">
        <f t="shared" si="2"/>
        <v>21.27928144</v>
      </c>
      <c r="K60" s="13"/>
      <c r="L60" s="33">
        <f t="shared" si="3"/>
        <v>21.27928144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30.0" customHeight="1">
      <c r="A61" s="41">
        <v>53.0</v>
      </c>
      <c r="B61" s="13" t="s">
        <v>135</v>
      </c>
      <c r="C61" s="13"/>
      <c r="D61" s="30" t="s">
        <v>94</v>
      </c>
      <c r="E61" s="14">
        <v>45636.0</v>
      </c>
      <c r="F61" s="14" t="s">
        <v>131</v>
      </c>
      <c r="G61" s="53">
        <v>122.77795254004428</v>
      </c>
      <c r="H61" s="32">
        <v>20.0</v>
      </c>
      <c r="I61" s="33">
        <f t="shared" si="1"/>
        <v>1.019057006</v>
      </c>
      <c r="J61" s="33">
        <f t="shared" si="2"/>
        <v>143.7970095</v>
      </c>
      <c r="K61" s="13"/>
      <c r="L61" s="33">
        <f t="shared" si="3"/>
        <v>143.7970095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0.0" customHeight="1">
      <c r="A62" s="41">
        <v>54.0</v>
      </c>
      <c r="B62" s="13" t="s">
        <v>136</v>
      </c>
      <c r="C62" s="13"/>
      <c r="D62" s="30" t="s">
        <v>94</v>
      </c>
      <c r="E62" s="14">
        <v>45390.0</v>
      </c>
      <c r="F62" s="14" t="s">
        <v>131</v>
      </c>
      <c r="G62" s="53">
        <v>21.104117266427643</v>
      </c>
      <c r="H62" s="32"/>
      <c r="I62" s="33">
        <f t="shared" si="1"/>
        <v>0.1751641733</v>
      </c>
      <c r="J62" s="33">
        <f t="shared" si="2"/>
        <v>21.27928144</v>
      </c>
      <c r="K62" s="13"/>
      <c r="L62" s="33">
        <f t="shared" si="3"/>
        <v>21.27928144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30.0" customHeight="1">
      <c r="A63" s="41">
        <v>55.0</v>
      </c>
      <c r="B63" s="13" t="s">
        <v>138</v>
      </c>
      <c r="C63" s="13"/>
      <c r="D63" s="30" t="s">
        <v>94</v>
      </c>
      <c r="E63" s="14">
        <v>45420.0</v>
      </c>
      <c r="F63" s="14"/>
      <c r="G63" s="53">
        <v>10.508448571641509</v>
      </c>
      <c r="H63" s="32"/>
      <c r="I63" s="33">
        <f t="shared" si="1"/>
        <v>0.08722012314</v>
      </c>
      <c r="J63" s="33">
        <f t="shared" si="2"/>
        <v>10.59566869</v>
      </c>
      <c r="K63" s="13"/>
      <c r="L63" s="33">
        <f t="shared" si="3"/>
        <v>10.59566869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30.0" customHeight="1">
      <c r="A64" s="41">
        <v>56.0</v>
      </c>
      <c r="B64" s="13" t="s">
        <v>142</v>
      </c>
      <c r="C64" s="13"/>
      <c r="D64" s="30" t="s">
        <v>94</v>
      </c>
      <c r="E64" s="14">
        <v>45640.0</v>
      </c>
      <c r="F64" s="14"/>
      <c r="G64" s="53">
        <v>25.375225108935002</v>
      </c>
      <c r="H64" s="32"/>
      <c r="I64" s="33">
        <f t="shared" si="1"/>
        <v>0.2106143684</v>
      </c>
      <c r="J64" s="33">
        <f t="shared" si="2"/>
        <v>25.58583948</v>
      </c>
      <c r="K64" s="13"/>
      <c r="L64" s="33">
        <f t="shared" si="3"/>
        <v>25.58583948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30.0" customHeight="1">
      <c r="A65" s="41"/>
      <c r="B65" s="13"/>
      <c r="C65" s="13"/>
      <c r="D65" s="30"/>
      <c r="E65" s="14"/>
      <c r="F65" s="14"/>
      <c r="G65" s="53"/>
      <c r="H65" s="32"/>
      <c r="I65" s="16"/>
      <c r="J65" s="33"/>
      <c r="K65" s="13"/>
      <c r="L65" s="3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0" customHeight="1">
      <c r="A66" s="17"/>
      <c r="B66" s="13"/>
      <c r="C66" s="13"/>
      <c r="D66" s="13"/>
      <c r="E66" s="13"/>
      <c r="F66" s="13"/>
      <c r="G66" s="55">
        <f>SUM(G7:G59)</f>
        <v>52979.90782</v>
      </c>
      <c r="H66" s="18">
        <f>SUM(H7:H65)</f>
        <v>698.8</v>
      </c>
      <c r="I66" s="18">
        <f>SUM(I7:I57)</f>
        <v>437.3922325</v>
      </c>
      <c r="J66" s="18">
        <f>SUM(J7:J59)</f>
        <v>54098.44105</v>
      </c>
      <c r="K66" s="18">
        <f>SUM(K7:K55)</f>
        <v>434.33</v>
      </c>
      <c r="L66" s="18">
        <f>SUM(L7:L59)</f>
        <v>53664.11105</v>
      </c>
      <c r="M66" s="1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2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64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6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9" t="s">
        <v>152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45422.0</v>
      </c>
      <c r="F7" s="31"/>
      <c r="G7" s="52">
        <v>4746.022946677882</v>
      </c>
      <c r="H7" s="32"/>
      <c r="I7" s="33">
        <f t="shared" ref="I7:I25" si="1">G7*0.83%</f>
        <v>39.39199046</v>
      </c>
      <c r="J7" s="33">
        <f t="shared" ref="J7:J69" si="2">G7+H7+I7</f>
        <v>4785.414937</v>
      </c>
      <c r="K7" s="30"/>
      <c r="L7" s="33">
        <f t="shared" ref="L7:L69" si="3">J7-K7</f>
        <v>4785.414937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45668.0</v>
      </c>
      <c r="F8" s="31"/>
      <c r="G8" s="52">
        <v>7982.846382572133</v>
      </c>
      <c r="H8" s="32">
        <v>30.0</v>
      </c>
      <c r="I8" s="33">
        <f t="shared" si="1"/>
        <v>66.25762498</v>
      </c>
      <c r="J8" s="33">
        <f t="shared" si="2"/>
        <v>8079.104008</v>
      </c>
      <c r="K8" s="30"/>
      <c r="L8" s="33">
        <f t="shared" si="3"/>
        <v>8079.104008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45666.0</v>
      </c>
      <c r="F9" s="31"/>
      <c r="G9" s="52">
        <v>7879.68866886954</v>
      </c>
      <c r="H9" s="32">
        <v>100.0</v>
      </c>
      <c r="I9" s="33">
        <f t="shared" si="1"/>
        <v>65.40141595</v>
      </c>
      <c r="J9" s="33">
        <f t="shared" si="2"/>
        <v>8045.090085</v>
      </c>
      <c r="K9" s="30"/>
      <c r="L9" s="33">
        <f t="shared" si="3"/>
        <v>8045.090085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75" customHeight="1">
      <c r="A10" s="24">
        <v>4.0</v>
      </c>
      <c r="B10" s="36" t="s">
        <v>35</v>
      </c>
      <c r="C10" s="36" t="s">
        <v>93</v>
      </c>
      <c r="D10" s="36" t="s">
        <v>92</v>
      </c>
      <c r="E10" s="37">
        <v>45171.0</v>
      </c>
      <c r="F10" s="37"/>
      <c r="G10" s="60">
        <v>3180.05</v>
      </c>
      <c r="H10" s="38"/>
      <c r="I10" s="38">
        <f t="shared" si="1"/>
        <v>26.394415</v>
      </c>
      <c r="J10" s="38">
        <f t="shared" si="2"/>
        <v>3206.444415</v>
      </c>
      <c r="K10" s="61">
        <v>3000.0</v>
      </c>
      <c r="L10" s="38">
        <f t="shared" si="3"/>
        <v>206.444415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45668.0</v>
      </c>
      <c r="F11" s="35"/>
      <c r="G11" s="52">
        <v>550.1200281320735</v>
      </c>
      <c r="H11" s="32">
        <v>20.0</v>
      </c>
      <c r="I11" s="32">
        <f t="shared" si="1"/>
        <v>4.565996233</v>
      </c>
      <c r="J11" s="32">
        <f t="shared" si="2"/>
        <v>574.6860244</v>
      </c>
      <c r="K11" s="34"/>
      <c r="L11" s="32">
        <f t="shared" si="3"/>
        <v>574.6860244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45660.0</v>
      </c>
      <c r="F12" s="35"/>
      <c r="G12" s="52">
        <v>322.4406099394616</v>
      </c>
      <c r="H12" s="32">
        <v>50.0</v>
      </c>
      <c r="I12" s="32">
        <f t="shared" si="1"/>
        <v>2.676257062</v>
      </c>
      <c r="J12" s="32">
        <f t="shared" si="2"/>
        <v>375.116867</v>
      </c>
      <c r="K12" s="34"/>
      <c r="L12" s="32">
        <f t="shared" si="3"/>
        <v>375.116867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41">
        <v>7.0</v>
      </c>
      <c r="B13" s="30" t="s">
        <v>38</v>
      </c>
      <c r="C13" s="30" t="s">
        <v>91</v>
      </c>
      <c r="D13" s="30" t="s">
        <v>92</v>
      </c>
      <c r="E13" s="31">
        <v>110.0</v>
      </c>
      <c r="F13" s="31"/>
      <c r="G13" s="52">
        <v>7750.9922086852985</v>
      </c>
      <c r="H13" s="32">
        <v>57.12</v>
      </c>
      <c r="I13" s="33">
        <f t="shared" si="1"/>
        <v>64.33323533</v>
      </c>
      <c r="J13" s="33">
        <f t="shared" si="2"/>
        <v>7872.445444</v>
      </c>
      <c r="K13" s="30"/>
      <c r="L13" s="33">
        <f t="shared" si="3"/>
        <v>7872.445444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24">
        <v>8.0</v>
      </c>
      <c r="B14" s="36" t="s">
        <v>48</v>
      </c>
      <c r="C14" s="36" t="s">
        <v>91</v>
      </c>
      <c r="D14" s="36" t="s">
        <v>92</v>
      </c>
      <c r="E14" s="37">
        <v>45672.0</v>
      </c>
      <c r="F14" s="37"/>
      <c r="G14" s="60">
        <v>3804.0819190881653</v>
      </c>
      <c r="H14" s="38">
        <v>30.0</v>
      </c>
      <c r="I14" s="38">
        <f t="shared" si="1"/>
        <v>31.57387993</v>
      </c>
      <c r="J14" s="38">
        <f t="shared" si="2"/>
        <v>3865.655799</v>
      </c>
      <c r="K14" s="61">
        <v>2000.0</v>
      </c>
      <c r="L14" s="38">
        <f t="shared" si="3"/>
        <v>1865.655799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41">
        <v>9.0</v>
      </c>
      <c r="B15" s="30" t="s">
        <v>146</v>
      </c>
      <c r="C15" s="30" t="s">
        <v>91</v>
      </c>
      <c r="D15" s="30" t="s">
        <v>94</v>
      </c>
      <c r="E15" s="31">
        <v>45663.0</v>
      </c>
      <c r="F15" s="31"/>
      <c r="G15" s="52">
        <v>3723.415852388165</v>
      </c>
      <c r="H15" s="32">
        <v>20.0</v>
      </c>
      <c r="I15" s="33">
        <f t="shared" si="1"/>
        <v>30.90435157</v>
      </c>
      <c r="J15" s="33">
        <f t="shared" si="2"/>
        <v>3774.320204</v>
      </c>
      <c r="K15" s="30"/>
      <c r="L15" s="33">
        <f t="shared" si="3"/>
        <v>3774.320204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41">
        <v>9.0</v>
      </c>
      <c r="B16" s="30" t="s">
        <v>49</v>
      </c>
      <c r="C16" s="30" t="s">
        <v>91</v>
      </c>
      <c r="D16" s="30" t="s">
        <v>94</v>
      </c>
      <c r="E16" s="31">
        <v>45663.0</v>
      </c>
      <c r="F16" s="31" t="s">
        <v>38</v>
      </c>
      <c r="G16" s="52">
        <v>167.79402355095291</v>
      </c>
      <c r="H16" s="32">
        <v>10.0</v>
      </c>
      <c r="I16" s="33">
        <f t="shared" si="1"/>
        <v>1.392690395</v>
      </c>
      <c r="J16" s="33">
        <f t="shared" si="2"/>
        <v>179.1867139</v>
      </c>
      <c r="K16" s="30"/>
      <c r="L16" s="33">
        <f t="shared" si="3"/>
        <v>179.1867139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41">
        <v>10.0</v>
      </c>
      <c r="B17" s="30" t="s">
        <v>58</v>
      </c>
      <c r="C17" s="30" t="s">
        <v>93</v>
      </c>
      <c r="D17" s="30" t="s">
        <v>94</v>
      </c>
      <c r="E17" s="31">
        <v>45663.0</v>
      </c>
      <c r="F17" s="31" t="s">
        <v>39</v>
      </c>
      <c r="G17" s="52">
        <v>374.76295740961007</v>
      </c>
      <c r="H17" s="32">
        <v>20.0</v>
      </c>
      <c r="I17" s="33">
        <f t="shared" si="1"/>
        <v>3.110532546</v>
      </c>
      <c r="J17" s="33">
        <f t="shared" si="2"/>
        <v>397.87349</v>
      </c>
      <c r="K17" s="30"/>
      <c r="L17" s="33">
        <f t="shared" si="3"/>
        <v>397.87349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41">
        <v>11.0</v>
      </c>
      <c r="B18" s="30" t="s">
        <v>51</v>
      </c>
      <c r="C18" s="30" t="s">
        <v>91</v>
      </c>
      <c r="D18" s="30" t="s">
        <v>94</v>
      </c>
      <c r="E18" s="31">
        <v>45294.0</v>
      </c>
      <c r="F18" s="31" t="s">
        <v>34</v>
      </c>
      <c r="G18" s="52">
        <v>113.02362726520576</v>
      </c>
      <c r="H18" s="32"/>
      <c r="I18" s="33">
        <f t="shared" si="1"/>
        <v>0.9380961063</v>
      </c>
      <c r="J18" s="33">
        <f t="shared" si="2"/>
        <v>113.9617234</v>
      </c>
      <c r="K18" s="30"/>
      <c r="L18" s="33">
        <f t="shared" si="3"/>
        <v>113.9617234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41">
        <v>12.0</v>
      </c>
      <c r="B19" s="30" t="s">
        <v>52</v>
      </c>
      <c r="C19" s="30" t="s">
        <v>91</v>
      </c>
      <c r="D19" s="30" t="s">
        <v>94</v>
      </c>
      <c r="E19" s="31">
        <v>45029.0</v>
      </c>
      <c r="F19" s="31" t="s">
        <v>38</v>
      </c>
      <c r="G19" s="52">
        <v>89.46560985391362</v>
      </c>
      <c r="H19" s="32"/>
      <c r="I19" s="33">
        <f t="shared" si="1"/>
        <v>0.7425645618</v>
      </c>
      <c r="J19" s="33">
        <f t="shared" si="2"/>
        <v>90.20817442</v>
      </c>
      <c r="K19" s="30"/>
      <c r="L19" s="33">
        <f t="shared" si="3"/>
        <v>90.20817442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41">
        <v>13.0</v>
      </c>
      <c r="B20" s="30" t="s">
        <v>72</v>
      </c>
      <c r="C20" s="30" t="s">
        <v>91</v>
      </c>
      <c r="D20" s="30" t="s">
        <v>94</v>
      </c>
      <c r="E20" s="31">
        <v>45387.0</v>
      </c>
      <c r="F20" s="31" t="s">
        <v>38</v>
      </c>
      <c r="G20" s="52">
        <v>245.17737497808585</v>
      </c>
      <c r="H20" s="32"/>
      <c r="I20" s="32">
        <f t="shared" si="1"/>
        <v>2.034972212</v>
      </c>
      <c r="J20" s="32">
        <f t="shared" si="2"/>
        <v>247.2123472</v>
      </c>
      <c r="K20" s="34"/>
      <c r="L20" s="32">
        <f t="shared" si="3"/>
        <v>247.2123472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75" customHeight="1">
      <c r="A21" s="41">
        <v>14.0</v>
      </c>
      <c r="B21" s="34" t="s">
        <v>54</v>
      </c>
      <c r="C21" s="34" t="s">
        <v>91</v>
      </c>
      <c r="D21" s="30" t="s">
        <v>94</v>
      </c>
      <c r="E21" s="35">
        <v>45659.0</v>
      </c>
      <c r="F21" s="35" t="s">
        <v>34</v>
      </c>
      <c r="G21" s="52">
        <v>1865.5214851318729</v>
      </c>
      <c r="H21" s="32">
        <v>100.0</v>
      </c>
      <c r="I21" s="33">
        <f t="shared" si="1"/>
        <v>15.48382833</v>
      </c>
      <c r="J21" s="33">
        <f t="shared" si="2"/>
        <v>1981.005313</v>
      </c>
      <c r="K21" s="30"/>
      <c r="L21" s="33">
        <f t="shared" si="3"/>
        <v>1981.005313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41">
        <v>15.0</v>
      </c>
      <c r="B22" s="30" t="s">
        <v>55</v>
      </c>
      <c r="C22" s="30" t="s">
        <v>91</v>
      </c>
      <c r="D22" s="30" t="s">
        <v>94</v>
      </c>
      <c r="E22" s="31">
        <v>45665.0</v>
      </c>
      <c r="F22" s="31" t="s">
        <v>33</v>
      </c>
      <c r="G22" s="52">
        <v>280.227262596412</v>
      </c>
      <c r="H22" s="32">
        <v>25.0</v>
      </c>
      <c r="I22" s="33">
        <f t="shared" si="1"/>
        <v>2.32588628</v>
      </c>
      <c r="J22" s="33">
        <f t="shared" si="2"/>
        <v>307.5531489</v>
      </c>
      <c r="K22" s="30"/>
      <c r="L22" s="33">
        <f t="shared" si="3"/>
        <v>307.5531489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41">
        <v>16.0</v>
      </c>
      <c r="B23" s="30" t="s">
        <v>40</v>
      </c>
      <c r="C23" s="30" t="s">
        <v>91</v>
      </c>
      <c r="D23" s="30" t="s">
        <v>94</v>
      </c>
      <c r="E23" s="31">
        <v>45664.0</v>
      </c>
      <c r="F23" s="31" t="s">
        <v>38</v>
      </c>
      <c r="G23" s="52">
        <v>2060.5685599217572</v>
      </c>
      <c r="H23" s="39">
        <v>25.0</v>
      </c>
      <c r="I23" s="32">
        <f t="shared" si="1"/>
        <v>17.10271905</v>
      </c>
      <c r="J23" s="32">
        <f t="shared" si="2"/>
        <v>2102.671279</v>
      </c>
      <c r="K23" s="34"/>
      <c r="L23" s="32">
        <f t="shared" si="3"/>
        <v>2102.671279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41">
        <v>17.0</v>
      </c>
      <c r="B24" s="34" t="s">
        <v>41</v>
      </c>
      <c r="C24" s="34" t="s">
        <v>91</v>
      </c>
      <c r="D24" s="30" t="s">
        <v>94</v>
      </c>
      <c r="E24" s="35">
        <v>45670.0</v>
      </c>
      <c r="F24" s="35" t="s">
        <v>34</v>
      </c>
      <c r="G24" s="52">
        <v>343.6833956961279</v>
      </c>
      <c r="H24" s="39">
        <v>30.0</v>
      </c>
      <c r="I24" s="33">
        <f t="shared" si="1"/>
        <v>2.852572184</v>
      </c>
      <c r="J24" s="33">
        <f t="shared" si="2"/>
        <v>376.5359679</v>
      </c>
      <c r="K24" s="30"/>
      <c r="L24" s="33">
        <f t="shared" si="3"/>
        <v>376.5359679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41">
        <v>18.0</v>
      </c>
      <c r="B25" s="30" t="s">
        <v>95</v>
      </c>
      <c r="C25" s="30" t="s">
        <v>93</v>
      </c>
      <c r="D25" s="30" t="s">
        <v>94</v>
      </c>
      <c r="E25" s="31">
        <v>45664.0</v>
      </c>
      <c r="F25" s="31" t="s">
        <v>39</v>
      </c>
      <c r="G25" s="52">
        <v>679.529642575666</v>
      </c>
      <c r="H25" s="39">
        <v>10.0</v>
      </c>
      <c r="I25" s="33">
        <f t="shared" si="1"/>
        <v>5.640096033</v>
      </c>
      <c r="J25" s="33">
        <f t="shared" si="2"/>
        <v>695.1697386</v>
      </c>
      <c r="K25" s="30"/>
      <c r="L25" s="33">
        <f t="shared" si="3"/>
        <v>695.1697386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24">
        <v>19.0</v>
      </c>
      <c r="B26" s="36" t="s">
        <v>96</v>
      </c>
      <c r="C26" s="36" t="s">
        <v>91</v>
      </c>
      <c r="D26" s="36" t="s">
        <v>94</v>
      </c>
      <c r="E26" s="37">
        <v>45388.0</v>
      </c>
      <c r="F26" s="37" t="s">
        <v>33</v>
      </c>
      <c r="G26" s="60">
        <v>258.0212354232188</v>
      </c>
      <c r="H26" s="56"/>
      <c r="I26" s="38"/>
      <c r="J26" s="38">
        <f t="shared" si="2"/>
        <v>258.0212354</v>
      </c>
      <c r="K26" s="36">
        <v>258.02</v>
      </c>
      <c r="L26" s="38">
        <f t="shared" si="3"/>
        <v>0.001235423219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41">
        <v>20.0</v>
      </c>
      <c r="B27" s="34" t="s">
        <v>97</v>
      </c>
      <c r="C27" s="30" t="s">
        <v>93</v>
      </c>
      <c r="D27" s="30" t="s">
        <v>94</v>
      </c>
      <c r="E27" s="31">
        <v>45386.0</v>
      </c>
      <c r="F27" s="31" t="s">
        <v>34</v>
      </c>
      <c r="G27" s="52">
        <v>83.81170010288434</v>
      </c>
      <c r="H27" s="39"/>
      <c r="I27" s="32">
        <f t="shared" ref="I27:I38" si="4">G27*0.83%</f>
        <v>0.6956371109</v>
      </c>
      <c r="J27" s="32">
        <f t="shared" si="2"/>
        <v>84.50733721</v>
      </c>
      <c r="K27" s="34"/>
      <c r="L27" s="32">
        <f t="shared" si="3"/>
        <v>84.50733721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41">
        <v>21.0</v>
      </c>
      <c r="B28" s="34" t="s">
        <v>98</v>
      </c>
      <c r="C28" s="34" t="s">
        <v>93</v>
      </c>
      <c r="D28" s="30" t="s">
        <v>94</v>
      </c>
      <c r="E28" s="35">
        <v>45140.0</v>
      </c>
      <c r="F28" s="35" t="s">
        <v>38</v>
      </c>
      <c r="G28" s="52">
        <v>123.02393920465474</v>
      </c>
      <c r="H28" s="39"/>
      <c r="I28" s="33">
        <f t="shared" si="4"/>
        <v>1.021098695</v>
      </c>
      <c r="J28" s="33">
        <f t="shared" si="2"/>
        <v>124.0450379</v>
      </c>
      <c r="K28" s="30"/>
      <c r="L28" s="33">
        <f t="shared" si="3"/>
        <v>124.0450379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41">
        <v>22.0</v>
      </c>
      <c r="B29" s="30" t="s">
        <v>61</v>
      </c>
      <c r="C29" s="30" t="s">
        <v>91</v>
      </c>
      <c r="D29" s="30" t="s">
        <v>94</v>
      </c>
      <c r="E29" s="31">
        <v>45235.0</v>
      </c>
      <c r="F29" s="31" t="s">
        <v>38</v>
      </c>
      <c r="G29" s="52">
        <v>144.8395661082203</v>
      </c>
      <c r="H29" s="39"/>
      <c r="I29" s="33">
        <f t="shared" si="4"/>
        <v>1.202168399</v>
      </c>
      <c r="J29" s="33">
        <f t="shared" si="2"/>
        <v>146.0417345</v>
      </c>
      <c r="K29" s="30"/>
      <c r="L29" s="33">
        <f t="shared" si="3"/>
        <v>146.0417345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41">
        <v>23.0</v>
      </c>
      <c r="B30" s="30" t="s">
        <v>63</v>
      </c>
      <c r="C30" s="30" t="s">
        <v>91</v>
      </c>
      <c r="D30" s="30" t="s">
        <v>94</v>
      </c>
      <c r="E30" s="31">
        <v>45422.0</v>
      </c>
      <c r="F30" s="31" t="s">
        <v>39</v>
      </c>
      <c r="G30" s="52">
        <v>1044.1497411206267</v>
      </c>
      <c r="H30" s="39"/>
      <c r="I30" s="33">
        <f t="shared" si="4"/>
        <v>8.666442851</v>
      </c>
      <c r="J30" s="33">
        <f t="shared" si="2"/>
        <v>1052.816184</v>
      </c>
      <c r="K30" s="30"/>
      <c r="L30" s="33">
        <f t="shared" si="3"/>
        <v>1052.816184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41">
        <v>24.0</v>
      </c>
      <c r="B31" s="34" t="s">
        <v>64</v>
      </c>
      <c r="C31" s="30" t="s">
        <v>91</v>
      </c>
      <c r="D31" s="30" t="s">
        <v>94</v>
      </c>
      <c r="E31" s="31">
        <v>45420.0</v>
      </c>
      <c r="F31" s="31" t="s">
        <v>40</v>
      </c>
      <c r="G31" s="52">
        <v>682.8442377523897</v>
      </c>
      <c r="H31" s="39"/>
      <c r="I31" s="33">
        <f t="shared" si="4"/>
        <v>5.667607173</v>
      </c>
      <c r="J31" s="33">
        <f t="shared" si="2"/>
        <v>688.5118449</v>
      </c>
      <c r="K31" s="30"/>
      <c r="L31" s="33">
        <f t="shared" si="3"/>
        <v>688.5118449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41">
        <v>25.0</v>
      </c>
      <c r="B32" s="30" t="s">
        <v>65</v>
      </c>
      <c r="C32" s="30" t="s">
        <v>91</v>
      </c>
      <c r="D32" s="30" t="s">
        <v>94</v>
      </c>
      <c r="E32" s="31">
        <v>45383.0</v>
      </c>
      <c r="F32" s="31" t="s">
        <v>39</v>
      </c>
      <c r="G32" s="52">
        <v>44.85696174546612</v>
      </c>
      <c r="H32" s="39"/>
      <c r="I32" s="33">
        <f t="shared" si="4"/>
        <v>0.3723127825</v>
      </c>
      <c r="J32" s="33">
        <f t="shared" si="2"/>
        <v>45.22927453</v>
      </c>
      <c r="K32" s="30"/>
      <c r="L32" s="33">
        <f t="shared" si="3"/>
        <v>45.22927453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41">
        <v>26.0</v>
      </c>
      <c r="B33" s="30" t="s">
        <v>66</v>
      </c>
      <c r="C33" s="30" t="s">
        <v>91</v>
      </c>
      <c r="D33" s="30" t="s">
        <v>94</v>
      </c>
      <c r="E33" s="31">
        <v>45209.0</v>
      </c>
      <c r="F33" s="31" t="s">
        <v>33</v>
      </c>
      <c r="G33" s="52">
        <v>68.7820519315672</v>
      </c>
      <c r="H33" s="39"/>
      <c r="I33" s="33">
        <f t="shared" si="4"/>
        <v>0.570891031</v>
      </c>
      <c r="J33" s="33">
        <f t="shared" si="2"/>
        <v>69.35294296</v>
      </c>
      <c r="K33" s="30"/>
      <c r="L33" s="33">
        <f t="shared" si="3"/>
        <v>69.35294296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75" customHeight="1">
      <c r="A34" s="41">
        <v>27.0</v>
      </c>
      <c r="B34" s="30" t="s">
        <v>99</v>
      </c>
      <c r="C34" s="30" t="s">
        <v>91</v>
      </c>
      <c r="D34" s="30" t="s">
        <v>94</v>
      </c>
      <c r="E34" s="31">
        <v>45085.0</v>
      </c>
      <c r="F34" s="31" t="s">
        <v>38</v>
      </c>
      <c r="G34" s="52">
        <v>232.0806277788005</v>
      </c>
      <c r="H34" s="32"/>
      <c r="I34" s="33">
        <f t="shared" si="4"/>
        <v>1.926269211</v>
      </c>
      <c r="J34" s="33">
        <f t="shared" si="2"/>
        <v>234.006897</v>
      </c>
      <c r="K34" s="30"/>
      <c r="L34" s="33">
        <f t="shared" si="3"/>
        <v>234.006897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75" customHeight="1">
      <c r="A35" s="41">
        <v>28.0</v>
      </c>
      <c r="B35" s="30" t="s">
        <v>100</v>
      </c>
      <c r="C35" s="30" t="s">
        <v>93</v>
      </c>
      <c r="D35" s="30" t="s">
        <v>94</v>
      </c>
      <c r="E35" s="31">
        <v>45427.0</v>
      </c>
      <c r="F35" s="31" t="s">
        <v>39</v>
      </c>
      <c r="G35" s="52">
        <v>70.66992731550353</v>
      </c>
      <c r="H35" s="32"/>
      <c r="I35" s="33">
        <f t="shared" si="4"/>
        <v>0.5865603967</v>
      </c>
      <c r="J35" s="33">
        <f t="shared" si="2"/>
        <v>71.25648771</v>
      </c>
      <c r="K35" s="30"/>
      <c r="L35" s="33">
        <f t="shared" si="3"/>
        <v>71.25648771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41">
        <v>29.0</v>
      </c>
      <c r="B36" s="30" t="s">
        <v>101</v>
      </c>
      <c r="C36" s="30" t="s">
        <v>93</v>
      </c>
      <c r="D36" s="30" t="s">
        <v>94</v>
      </c>
      <c r="E36" s="31">
        <v>45235.0</v>
      </c>
      <c r="F36" s="31"/>
      <c r="G36" s="52">
        <v>1114.830464151101</v>
      </c>
      <c r="H36" s="32"/>
      <c r="I36" s="33">
        <f t="shared" si="4"/>
        <v>9.253092852</v>
      </c>
      <c r="J36" s="33">
        <f t="shared" si="2"/>
        <v>1124.083557</v>
      </c>
      <c r="K36" s="30">
        <v>258.89</v>
      </c>
      <c r="L36" s="33">
        <f t="shared" si="3"/>
        <v>865.193557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41">
        <v>30.0</v>
      </c>
      <c r="B37" s="30" t="s">
        <v>102</v>
      </c>
      <c r="C37" s="30"/>
      <c r="D37" s="30" t="s">
        <v>94</v>
      </c>
      <c r="E37" s="31">
        <v>45235.0</v>
      </c>
      <c r="F37" s="31"/>
      <c r="G37" s="52">
        <v>16.748577602653075</v>
      </c>
      <c r="H37" s="32"/>
      <c r="I37" s="33">
        <f t="shared" si="4"/>
        <v>0.1390131941</v>
      </c>
      <c r="J37" s="33">
        <f t="shared" si="2"/>
        <v>16.8875908</v>
      </c>
      <c r="K37" s="30"/>
      <c r="L37" s="33">
        <f t="shared" si="3"/>
        <v>16.8875908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41">
        <v>31.0</v>
      </c>
      <c r="B38" s="30" t="s">
        <v>104</v>
      </c>
      <c r="C38" s="30" t="s">
        <v>93</v>
      </c>
      <c r="D38" s="30" t="s">
        <v>94</v>
      </c>
      <c r="E38" s="31">
        <v>45667.0</v>
      </c>
      <c r="F38" s="31"/>
      <c r="G38" s="52">
        <v>206.63349540032203</v>
      </c>
      <c r="H38" s="32">
        <v>20.0</v>
      </c>
      <c r="I38" s="33">
        <f t="shared" si="4"/>
        <v>1.715058012</v>
      </c>
      <c r="J38" s="33">
        <f t="shared" si="2"/>
        <v>228.3485534</v>
      </c>
      <c r="K38" s="30"/>
      <c r="L38" s="33">
        <f t="shared" si="3"/>
        <v>228.3485534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41">
        <v>32.0</v>
      </c>
      <c r="B39" s="34" t="s">
        <v>105</v>
      </c>
      <c r="C39" s="34"/>
      <c r="D39" s="34" t="s">
        <v>94</v>
      </c>
      <c r="E39" s="35">
        <v>45420.0</v>
      </c>
      <c r="F39" s="35"/>
      <c r="G39" s="52">
        <v>258.883675072415</v>
      </c>
      <c r="H39" s="32"/>
      <c r="I39" s="32"/>
      <c r="J39" s="32">
        <f t="shared" si="2"/>
        <v>258.8836751</v>
      </c>
      <c r="K39" s="34">
        <v>258.88</v>
      </c>
      <c r="L39" s="32">
        <f t="shared" si="3"/>
        <v>0.003675072415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30.0" customHeight="1">
      <c r="A40" s="41">
        <v>33.0</v>
      </c>
      <c r="B40" s="34" t="s">
        <v>106</v>
      </c>
      <c r="C40" s="34"/>
      <c r="D40" s="34" t="s">
        <v>94</v>
      </c>
      <c r="E40" s="35">
        <v>45659.0</v>
      </c>
      <c r="F40" s="35"/>
      <c r="G40" s="52">
        <v>153.73892353914346</v>
      </c>
      <c r="H40" s="32">
        <v>20.0</v>
      </c>
      <c r="I40" s="32">
        <f t="shared" ref="I40:I42" si="5">G40*0.83%</f>
        <v>1.276033065</v>
      </c>
      <c r="J40" s="32">
        <f t="shared" si="2"/>
        <v>175.0149566</v>
      </c>
      <c r="K40" s="34"/>
      <c r="L40" s="32">
        <f t="shared" si="3"/>
        <v>175.0149566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30.0" customHeight="1">
      <c r="A41" s="41">
        <v>34.0</v>
      </c>
      <c r="B41" s="34" t="s">
        <v>107</v>
      </c>
      <c r="C41" s="34"/>
      <c r="D41" s="34" t="s">
        <v>94</v>
      </c>
      <c r="E41" s="35">
        <v>45414.0</v>
      </c>
      <c r="F41" s="35"/>
      <c r="G41" s="52">
        <v>217.2748133421742</v>
      </c>
      <c r="H41" s="32"/>
      <c r="I41" s="32">
        <f t="shared" si="5"/>
        <v>1.803380951</v>
      </c>
      <c r="J41" s="32">
        <f t="shared" si="2"/>
        <v>219.0781943</v>
      </c>
      <c r="K41" s="34"/>
      <c r="L41" s="32">
        <f t="shared" si="3"/>
        <v>219.0781943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30.0" customHeight="1">
      <c r="A42" s="41">
        <v>35.0</v>
      </c>
      <c r="B42" s="34" t="s">
        <v>108</v>
      </c>
      <c r="C42" s="34"/>
      <c r="D42" s="34" t="s">
        <v>94</v>
      </c>
      <c r="E42" s="35">
        <v>45330.0</v>
      </c>
      <c r="F42" s="35"/>
      <c r="G42" s="52">
        <v>60.471742393102616</v>
      </c>
      <c r="H42" s="32"/>
      <c r="I42" s="32">
        <f t="shared" si="5"/>
        <v>0.5019154619</v>
      </c>
      <c r="J42" s="32">
        <f t="shared" si="2"/>
        <v>60.97365785</v>
      </c>
      <c r="K42" s="34"/>
      <c r="L42" s="32">
        <f t="shared" si="3"/>
        <v>60.97365785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30.0" customHeight="1">
      <c r="A43" s="41">
        <v>36.0</v>
      </c>
      <c r="B43" s="34" t="s">
        <v>109</v>
      </c>
      <c r="C43" s="34"/>
      <c r="D43" s="34" t="s">
        <v>94</v>
      </c>
      <c r="E43" s="35">
        <v>45333.0</v>
      </c>
      <c r="F43" s="35"/>
      <c r="G43" s="52">
        <v>185.33827584591447</v>
      </c>
      <c r="H43" s="32"/>
      <c r="I43" s="32"/>
      <c r="J43" s="32">
        <f t="shared" si="2"/>
        <v>185.3382758</v>
      </c>
      <c r="K43" s="34">
        <v>185.34</v>
      </c>
      <c r="L43" s="32">
        <f t="shared" si="3"/>
        <v>-0.001724154086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30.0" customHeight="1">
      <c r="A44" s="41">
        <v>37.0</v>
      </c>
      <c r="B44" s="34" t="s">
        <v>110</v>
      </c>
      <c r="C44" s="34"/>
      <c r="D44" s="34" t="s">
        <v>94</v>
      </c>
      <c r="E44" s="35">
        <v>45418.0</v>
      </c>
      <c r="F44" s="35"/>
      <c r="G44" s="52">
        <v>176.31</v>
      </c>
      <c r="H44" s="32"/>
      <c r="I44" s="32">
        <v>0.0</v>
      </c>
      <c r="J44" s="32">
        <f t="shared" si="2"/>
        <v>176.31</v>
      </c>
      <c r="K44" s="34">
        <v>176.31</v>
      </c>
      <c r="L44" s="32">
        <f t="shared" si="3"/>
        <v>0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30.0" customHeight="1">
      <c r="A45" s="41">
        <v>38.0</v>
      </c>
      <c r="B45" s="34" t="s">
        <v>111</v>
      </c>
      <c r="C45" s="34"/>
      <c r="D45" s="34" t="s">
        <v>94</v>
      </c>
      <c r="E45" s="35">
        <v>45333.0</v>
      </c>
      <c r="F45" s="35"/>
      <c r="G45" s="52">
        <v>55.77885908273023</v>
      </c>
      <c r="H45" s="32"/>
      <c r="I45" s="32">
        <f t="shared" ref="I45:I47" si="6">G45*0.83%</f>
        <v>0.4629645304</v>
      </c>
      <c r="J45" s="32">
        <f t="shared" si="2"/>
        <v>56.24182361</v>
      </c>
      <c r="K45" s="34"/>
      <c r="L45" s="32">
        <f t="shared" si="3"/>
        <v>56.24182361</v>
      </c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30.0" customHeight="1">
      <c r="A46" s="41">
        <v>39.0</v>
      </c>
      <c r="B46" s="34" t="s">
        <v>112</v>
      </c>
      <c r="C46" s="34"/>
      <c r="D46" s="34" t="s">
        <v>94</v>
      </c>
      <c r="E46" s="35">
        <v>45245.0</v>
      </c>
      <c r="F46" s="35"/>
      <c r="G46" s="52">
        <v>22.361223465098284</v>
      </c>
      <c r="H46" s="32"/>
      <c r="I46" s="32">
        <f t="shared" si="6"/>
        <v>0.1855981548</v>
      </c>
      <c r="J46" s="32">
        <f t="shared" si="2"/>
        <v>22.54682162</v>
      </c>
      <c r="K46" s="34"/>
      <c r="L46" s="32">
        <f t="shared" si="3"/>
        <v>22.54682162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30.0" customHeight="1">
      <c r="A47" s="41">
        <v>40.0</v>
      </c>
      <c r="B47" s="34" t="s">
        <v>116</v>
      </c>
      <c r="C47" s="34"/>
      <c r="D47" s="34" t="s">
        <v>94</v>
      </c>
      <c r="E47" s="35">
        <v>45293.0</v>
      </c>
      <c r="F47" s="35"/>
      <c r="G47" s="52">
        <v>10.951848793299062</v>
      </c>
      <c r="H47" s="32"/>
      <c r="I47" s="32">
        <f t="shared" si="6"/>
        <v>0.09090034498</v>
      </c>
      <c r="J47" s="32">
        <f t="shared" si="2"/>
        <v>11.04274914</v>
      </c>
      <c r="K47" s="34"/>
      <c r="L47" s="32">
        <f t="shared" si="3"/>
        <v>11.04274914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30.0" customHeight="1">
      <c r="A48" s="41">
        <v>41.0</v>
      </c>
      <c r="B48" s="30" t="s">
        <v>117</v>
      </c>
      <c r="C48" s="30"/>
      <c r="D48" s="30" t="s">
        <v>94</v>
      </c>
      <c r="E48" s="31">
        <v>45414.0</v>
      </c>
      <c r="F48" s="31"/>
      <c r="G48" s="52">
        <v>424.3820373247746</v>
      </c>
      <c r="H48" s="32"/>
      <c r="I48" s="33"/>
      <c r="J48" s="33">
        <f t="shared" si="2"/>
        <v>424.3820373</v>
      </c>
      <c r="K48" s="30">
        <v>424.38</v>
      </c>
      <c r="L48" s="33">
        <f t="shared" si="3"/>
        <v>0.002037324775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0.0" customHeight="1">
      <c r="A49" s="41">
        <v>42.0</v>
      </c>
      <c r="B49" s="30" t="s">
        <v>118</v>
      </c>
      <c r="C49" s="30"/>
      <c r="D49" s="30" t="s">
        <v>94</v>
      </c>
      <c r="E49" s="31">
        <v>45303.0</v>
      </c>
      <c r="F49" s="31"/>
      <c r="G49" s="52">
        <v>21.903697586598124</v>
      </c>
      <c r="H49" s="32"/>
      <c r="I49" s="33">
        <f t="shared" ref="I49:I64" si="7">G49*0.83%</f>
        <v>0.18180069</v>
      </c>
      <c r="J49" s="33">
        <f t="shared" si="2"/>
        <v>22.08549828</v>
      </c>
      <c r="K49" s="30"/>
      <c r="L49" s="33">
        <f t="shared" si="3"/>
        <v>22.08549828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.0" customHeight="1">
      <c r="A50" s="41">
        <v>43.0</v>
      </c>
      <c r="B50" s="30" t="s">
        <v>120</v>
      </c>
      <c r="C50" s="30"/>
      <c r="D50" s="30" t="s">
        <v>94</v>
      </c>
      <c r="E50" s="31">
        <v>45668.0</v>
      </c>
      <c r="F50" s="31"/>
      <c r="G50" s="32">
        <v>114.68057750591137</v>
      </c>
      <c r="H50" s="32">
        <v>10.0</v>
      </c>
      <c r="I50" s="33">
        <f t="shared" si="7"/>
        <v>0.9518487933</v>
      </c>
      <c r="J50" s="33">
        <f t="shared" si="2"/>
        <v>125.6324263</v>
      </c>
      <c r="K50" s="30"/>
      <c r="L50" s="33">
        <f t="shared" si="3"/>
        <v>125.6324263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0.0" customHeight="1">
      <c r="A51" s="41">
        <v>44.0</v>
      </c>
      <c r="B51" s="30" t="s">
        <v>121</v>
      </c>
      <c r="C51" s="30"/>
      <c r="D51" s="30" t="s">
        <v>94</v>
      </c>
      <c r="E51" s="31">
        <v>45324.0</v>
      </c>
      <c r="F51" s="31"/>
      <c r="G51" s="52">
        <v>10.861696710601073</v>
      </c>
      <c r="H51" s="32"/>
      <c r="I51" s="33">
        <f t="shared" si="7"/>
        <v>0.0901520827</v>
      </c>
      <c r="J51" s="33">
        <f t="shared" si="2"/>
        <v>10.95184879</v>
      </c>
      <c r="K51" s="30"/>
      <c r="L51" s="33">
        <f t="shared" si="3"/>
        <v>10.95184879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0.0" customHeight="1">
      <c r="A52" s="41">
        <v>45.0</v>
      </c>
      <c r="B52" s="30" t="s">
        <v>124</v>
      </c>
      <c r="C52" s="30"/>
      <c r="D52" s="30" t="s">
        <v>94</v>
      </c>
      <c r="E52" s="31">
        <v>45668.0</v>
      </c>
      <c r="F52" s="31"/>
      <c r="G52" s="53">
        <v>72.12056076379491</v>
      </c>
      <c r="H52" s="32">
        <v>10.0</v>
      </c>
      <c r="I52" s="33">
        <f t="shared" si="7"/>
        <v>0.5986006543</v>
      </c>
      <c r="J52" s="33">
        <f t="shared" si="2"/>
        <v>82.71916142</v>
      </c>
      <c r="K52" s="13"/>
      <c r="L52" s="33">
        <f t="shared" si="3"/>
        <v>82.71916142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0.0" customHeight="1">
      <c r="A53" s="41">
        <v>46.0</v>
      </c>
      <c r="B53" s="13" t="s">
        <v>125</v>
      </c>
      <c r="C53" s="13"/>
      <c r="D53" s="30" t="s">
        <v>94</v>
      </c>
      <c r="E53" s="14">
        <v>45423.0</v>
      </c>
      <c r="F53" s="14"/>
      <c r="G53" s="53">
        <v>106.48508118447806</v>
      </c>
      <c r="H53" s="32"/>
      <c r="I53" s="33">
        <f t="shared" si="7"/>
        <v>0.8838261738</v>
      </c>
      <c r="J53" s="33">
        <f t="shared" si="2"/>
        <v>107.3689074</v>
      </c>
      <c r="K53" s="13"/>
      <c r="L53" s="33">
        <f t="shared" si="3"/>
        <v>107.3689074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0.0" customHeight="1">
      <c r="A54" s="41">
        <v>47.0</v>
      </c>
      <c r="B54" s="54" t="s">
        <v>126</v>
      </c>
      <c r="C54" s="13"/>
      <c r="D54" s="30" t="s">
        <v>94</v>
      </c>
      <c r="E54" s="14">
        <v>45671.0</v>
      </c>
      <c r="F54" s="14"/>
      <c r="G54" s="53">
        <v>271.46681718522234</v>
      </c>
      <c r="H54" s="32">
        <v>9.0</v>
      </c>
      <c r="I54" s="33">
        <f t="shared" si="7"/>
        <v>2.253174583</v>
      </c>
      <c r="J54" s="33">
        <f t="shared" si="2"/>
        <v>282.7199918</v>
      </c>
      <c r="K54" s="13"/>
      <c r="L54" s="33">
        <f t="shared" si="3"/>
        <v>282.7199918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0.0" customHeight="1">
      <c r="A55" s="41">
        <v>48.0</v>
      </c>
      <c r="B55" s="13" t="s">
        <v>127</v>
      </c>
      <c r="C55" s="13"/>
      <c r="D55" s="30" t="s">
        <v>94</v>
      </c>
      <c r="E55" s="14">
        <v>45420.0</v>
      </c>
      <c r="F55" s="14"/>
      <c r="G55" s="53">
        <v>42.735910851044196</v>
      </c>
      <c r="H55" s="32"/>
      <c r="I55" s="33">
        <f t="shared" si="7"/>
        <v>0.3547080601</v>
      </c>
      <c r="J55" s="33">
        <f t="shared" si="2"/>
        <v>43.09061891</v>
      </c>
      <c r="K55" s="13"/>
      <c r="L55" s="33">
        <f t="shared" si="3"/>
        <v>43.09061891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0.0" customHeight="1">
      <c r="A56" s="41">
        <v>49.0</v>
      </c>
      <c r="B56" s="13" t="s">
        <v>128</v>
      </c>
      <c r="C56" s="13"/>
      <c r="D56" s="30" t="s">
        <v>94</v>
      </c>
      <c r="E56" s="14">
        <v>45664.0</v>
      </c>
      <c r="F56" s="14"/>
      <c r="G56" s="53">
        <v>103.81888079531029</v>
      </c>
      <c r="H56" s="32">
        <v>10.0</v>
      </c>
      <c r="I56" s="33">
        <f t="shared" si="7"/>
        <v>0.8616967106</v>
      </c>
      <c r="J56" s="33">
        <f t="shared" si="2"/>
        <v>114.6805775</v>
      </c>
      <c r="K56" s="13"/>
      <c r="L56" s="33">
        <f t="shared" si="3"/>
        <v>114.6805775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0.0" customHeight="1">
      <c r="A57" s="41">
        <v>50.0</v>
      </c>
      <c r="B57" s="13" t="s">
        <v>129</v>
      </c>
      <c r="C57" s="13"/>
      <c r="D57" s="30" t="s">
        <v>94</v>
      </c>
      <c r="E57" s="14">
        <v>45666.0</v>
      </c>
      <c r="F57" s="14" t="s">
        <v>101</v>
      </c>
      <c r="G57" s="53">
        <v>1113.786958363848</v>
      </c>
      <c r="H57" s="32">
        <v>10.0</v>
      </c>
      <c r="I57" s="33">
        <f t="shared" si="7"/>
        <v>9.244431754</v>
      </c>
      <c r="J57" s="33">
        <f t="shared" si="2"/>
        <v>1133.03139</v>
      </c>
      <c r="K57" s="13"/>
      <c r="L57" s="33">
        <f t="shared" si="3"/>
        <v>1133.03139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0.0" customHeight="1">
      <c r="A58" s="41">
        <v>50.0</v>
      </c>
      <c r="B58" s="13" t="s">
        <v>132</v>
      </c>
      <c r="C58" s="13"/>
      <c r="D58" s="30" t="s">
        <v>94</v>
      </c>
      <c r="E58" s="14">
        <v>45420.0</v>
      </c>
      <c r="F58" s="14"/>
      <c r="G58" s="53">
        <v>15.93747506726256</v>
      </c>
      <c r="H58" s="32"/>
      <c r="I58" s="33">
        <f t="shared" si="7"/>
        <v>0.1322810431</v>
      </c>
      <c r="J58" s="33">
        <f t="shared" si="2"/>
        <v>16.06975611</v>
      </c>
      <c r="K58" s="13"/>
      <c r="L58" s="33">
        <f t="shared" si="3"/>
        <v>16.06975611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0.0" customHeight="1">
      <c r="A59" s="41">
        <v>51.0</v>
      </c>
      <c r="B59" s="13" t="s">
        <v>133</v>
      </c>
      <c r="C59" s="13"/>
      <c r="D59" s="30" t="s">
        <v>94</v>
      </c>
      <c r="E59" s="14">
        <v>45661.0</v>
      </c>
      <c r="F59" s="14"/>
      <c r="G59" s="59">
        <v>408.45201312983187</v>
      </c>
      <c r="H59" s="57">
        <v>50.0</v>
      </c>
      <c r="I59" s="33">
        <f t="shared" si="7"/>
        <v>3.390151709</v>
      </c>
      <c r="J59" s="33">
        <f t="shared" si="2"/>
        <v>461.8421648</v>
      </c>
      <c r="K59" s="13"/>
      <c r="L59" s="33">
        <f t="shared" si="3"/>
        <v>461.8421648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0.0" customHeight="1">
      <c r="A60" s="41">
        <v>52.0</v>
      </c>
      <c r="B60" s="30" t="s">
        <v>134</v>
      </c>
      <c r="C60" s="13"/>
      <c r="D60" s="30" t="s">
        <v>94</v>
      </c>
      <c r="E60" s="14">
        <v>45390.0</v>
      </c>
      <c r="F60" s="14" t="s">
        <v>131</v>
      </c>
      <c r="G60" s="53">
        <v>21.27928143973899</v>
      </c>
      <c r="H60" s="32"/>
      <c r="I60" s="33">
        <f t="shared" si="7"/>
        <v>0.1766180359</v>
      </c>
      <c r="J60" s="33">
        <f t="shared" si="2"/>
        <v>21.45589948</v>
      </c>
      <c r="K60" s="13"/>
      <c r="L60" s="33">
        <f t="shared" si="3"/>
        <v>21.45589948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0.0" customHeight="1">
      <c r="A61" s="41">
        <v>53.0</v>
      </c>
      <c r="B61" s="13" t="s">
        <v>135</v>
      </c>
      <c r="C61" s="13"/>
      <c r="D61" s="30" t="s">
        <v>94</v>
      </c>
      <c r="E61" s="14">
        <v>45667.0</v>
      </c>
      <c r="F61" s="14" t="s">
        <v>131</v>
      </c>
      <c r="G61" s="53">
        <v>143.79700954612665</v>
      </c>
      <c r="H61" s="32">
        <v>20.0</v>
      </c>
      <c r="I61" s="33">
        <f t="shared" si="7"/>
        <v>1.193515179</v>
      </c>
      <c r="J61" s="33">
        <f t="shared" si="2"/>
        <v>164.9905247</v>
      </c>
      <c r="K61" s="13"/>
      <c r="L61" s="33">
        <f t="shared" si="3"/>
        <v>164.9905247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0.0" customHeight="1">
      <c r="A62" s="41">
        <v>54.0</v>
      </c>
      <c r="B62" s="13" t="s">
        <v>136</v>
      </c>
      <c r="C62" s="13"/>
      <c r="D62" s="30" t="s">
        <v>94</v>
      </c>
      <c r="E62" s="14">
        <v>45390.0</v>
      </c>
      <c r="F62" s="14" t="s">
        <v>131</v>
      </c>
      <c r="G62" s="53">
        <v>21.27928143973899</v>
      </c>
      <c r="H62" s="32"/>
      <c r="I62" s="33">
        <f t="shared" si="7"/>
        <v>0.1766180359</v>
      </c>
      <c r="J62" s="33">
        <f t="shared" si="2"/>
        <v>21.45589948</v>
      </c>
      <c r="K62" s="13"/>
      <c r="L62" s="33">
        <f t="shared" si="3"/>
        <v>21.45589948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0.0" customHeight="1">
      <c r="A63" s="41">
        <v>55.0</v>
      </c>
      <c r="B63" s="13" t="s">
        <v>138</v>
      </c>
      <c r="C63" s="13"/>
      <c r="D63" s="30" t="s">
        <v>94</v>
      </c>
      <c r="E63" s="14">
        <v>45420.0</v>
      </c>
      <c r="F63" s="14"/>
      <c r="G63" s="53">
        <v>10.595668694786132</v>
      </c>
      <c r="H63" s="32"/>
      <c r="I63" s="33">
        <f t="shared" si="7"/>
        <v>0.08794405017</v>
      </c>
      <c r="J63" s="33">
        <f t="shared" si="2"/>
        <v>10.68361274</v>
      </c>
      <c r="K63" s="13"/>
      <c r="L63" s="33">
        <f t="shared" si="3"/>
        <v>10.68361274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0.0" customHeight="1">
      <c r="A64" s="41">
        <v>56.0</v>
      </c>
      <c r="B64" s="13" t="s">
        <v>142</v>
      </c>
      <c r="C64" s="13"/>
      <c r="D64" s="30" t="s">
        <v>94</v>
      </c>
      <c r="E64" s="14">
        <v>45672.0</v>
      </c>
      <c r="F64" s="14"/>
      <c r="G64" s="53">
        <v>25.58583947733916</v>
      </c>
      <c r="H64" s="32">
        <v>10.0</v>
      </c>
      <c r="I64" s="33">
        <f t="shared" si="7"/>
        <v>0.2123624677</v>
      </c>
      <c r="J64" s="33">
        <f t="shared" si="2"/>
        <v>35.79820195</v>
      </c>
      <c r="K64" s="13"/>
      <c r="L64" s="33">
        <f t="shared" si="3"/>
        <v>35.79820195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0.0" customHeight="1">
      <c r="A65" s="41">
        <v>57.0</v>
      </c>
      <c r="B65" s="13" t="s">
        <v>153</v>
      </c>
      <c r="C65" s="13" t="s">
        <v>93</v>
      </c>
      <c r="D65" s="30" t="s">
        <v>94</v>
      </c>
      <c r="E65" s="14">
        <v>45667.0</v>
      </c>
      <c r="F65" s="14"/>
      <c r="G65" s="53"/>
      <c r="H65" s="32">
        <v>50.0</v>
      </c>
      <c r="I65" s="33"/>
      <c r="J65" s="33">
        <f t="shared" si="2"/>
        <v>50</v>
      </c>
      <c r="K65" s="13"/>
      <c r="L65" s="33">
        <f t="shared" si="3"/>
        <v>50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0.0" customHeight="1">
      <c r="A66" s="41">
        <v>58.0</v>
      </c>
      <c r="B66" s="13" t="s">
        <v>154</v>
      </c>
      <c r="C66" s="13"/>
      <c r="D66" s="30" t="s">
        <v>94</v>
      </c>
      <c r="E66" s="14">
        <v>45668.0</v>
      </c>
      <c r="F66" s="14"/>
      <c r="G66" s="53"/>
      <c r="H66" s="32">
        <v>100.0</v>
      </c>
      <c r="I66" s="33"/>
      <c r="J66" s="33">
        <f t="shared" si="2"/>
        <v>100</v>
      </c>
      <c r="K66" s="13"/>
      <c r="L66" s="33">
        <f t="shared" si="3"/>
        <v>100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0.0" customHeight="1">
      <c r="A67" s="41">
        <v>59.0</v>
      </c>
      <c r="B67" s="13" t="s">
        <v>155</v>
      </c>
      <c r="C67" s="13"/>
      <c r="D67" s="30" t="s">
        <v>94</v>
      </c>
      <c r="E67" s="14">
        <v>45668.0</v>
      </c>
      <c r="F67" s="14"/>
      <c r="G67" s="53"/>
      <c r="H67" s="32">
        <v>50.0</v>
      </c>
      <c r="I67" s="33"/>
      <c r="J67" s="33">
        <f t="shared" si="2"/>
        <v>50</v>
      </c>
      <c r="K67" s="13"/>
      <c r="L67" s="33">
        <f t="shared" si="3"/>
        <v>50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0.0" customHeight="1">
      <c r="A68" s="41">
        <v>60.0</v>
      </c>
      <c r="B68" s="13" t="s">
        <v>156</v>
      </c>
      <c r="C68" s="13"/>
      <c r="D68" s="30" t="s">
        <v>94</v>
      </c>
      <c r="E68" s="14">
        <v>45670.0</v>
      </c>
      <c r="F68" s="14"/>
      <c r="G68" s="53"/>
      <c r="H68" s="32">
        <v>10.0</v>
      </c>
      <c r="I68" s="16"/>
      <c r="J68" s="33">
        <f t="shared" si="2"/>
        <v>10</v>
      </c>
      <c r="K68" s="13"/>
      <c r="L68" s="33">
        <f t="shared" si="3"/>
        <v>10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0.0" customHeight="1">
      <c r="A69" s="41">
        <v>61.0</v>
      </c>
      <c r="B69" s="13" t="s">
        <v>157</v>
      </c>
      <c r="C69" s="13"/>
      <c r="D69" s="30" t="s">
        <v>94</v>
      </c>
      <c r="E69" s="14">
        <v>45686.0</v>
      </c>
      <c r="F69" s="14"/>
      <c r="G69" s="53"/>
      <c r="H69" s="32">
        <v>5.0</v>
      </c>
      <c r="I69" s="16"/>
      <c r="J69" s="33">
        <f t="shared" si="2"/>
        <v>5</v>
      </c>
      <c r="K69" s="13"/>
      <c r="L69" s="33">
        <f t="shared" si="3"/>
        <v>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17"/>
      <c r="B70" s="13"/>
      <c r="C70" s="13"/>
      <c r="D70" s="13"/>
      <c r="E70" s="13"/>
      <c r="F70" s="13"/>
      <c r="G70" s="55">
        <f t="shared" ref="G70:L70" si="8">SUM(G7:G69)</f>
        <v>54320.98323</v>
      </c>
      <c r="H70" s="55">
        <f t="shared" si="8"/>
        <v>911.12</v>
      </c>
      <c r="I70" s="55">
        <f t="shared" si="8"/>
        <v>440.0497984</v>
      </c>
      <c r="J70" s="55">
        <f t="shared" si="8"/>
        <v>55672.15303</v>
      </c>
      <c r="K70" s="55">
        <f t="shared" si="8"/>
        <v>6561.82</v>
      </c>
      <c r="L70" s="55">
        <f t="shared" si="8"/>
        <v>49110.33303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2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70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158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45422.0</v>
      </c>
      <c r="F7" s="31"/>
      <c r="G7" s="52">
        <v>4785.414937135309</v>
      </c>
      <c r="H7" s="32"/>
      <c r="I7" s="33">
        <f t="shared" ref="I7:I66" si="1">G7*0.83%</f>
        <v>39.71894398</v>
      </c>
      <c r="J7" s="33">
        <f t="shared" ref="J7:J66" si="2">G7+H7+I7</f>
        <v>4825.133881</v>
      </c>
      <c r="K7" s="30"/>
      <c r="L7" s="33">
        <f t="shared" ref="L7:L66" si="3">J7-K7</f>
        <v>4825.133881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45699.0</v>
      </c>
      <c r="F8" s="31"/>
      <c r="G8" s="52">
        <v>8079.104007547481</v>
      </c>
      <c r="H8" s="32">
        <v>30.0</v>
      </c>
      <c r="I8" s="33">
        <f t="shared" si="1"/>
        <v>67.05656326</v>
      </c>
      <c r="J8" s="33">
        <f t="shared" si="2"/>
        <v>8176.160571</v>
      </c>
      <c r="K8" s="30"/>
      <c r="L8" s="33">
        <f t="shared" si="3"/>
        <v>8176.160571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45698.0</v>
      </c>
      <c r="F9" s="31"/>
      <c r="G9" s="52">
        <v>8045.090084821158</v>
      </c>
      <c r="H9" s="32">
        <v>100.0</v>
      </c>
      <c r="I9" s="33">
        <f t="shared" si="1"/>
        <v>66.7742477</v>
      </c>
      <c r="J9" s="33">
        <f t="shared" si="2"/>
        <v>8211.864333</v>
      </c>
      <c r="K9" s="30"/>
      <c r="L9" s="33">
        <f t="shared" si="3"/>
        <v>8211.864333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52">
        <v>206.4444150000004</v>
      </c>
      <c r="H10" s="32"/>
      <c r="I10" s="32">
        <f t="shared" si="1"/>
        <v>1.713488645</v>
      </c>
      <c r="J10" s="33">
        <f t="shared" si="2"/>
        <v>208.1579036</v>
      </c>
      <c r="K10" s="51"/>
      <c r="L10" s="32">
        <f t="shared" si="3"/>
        <v>208.1579036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45699.0</v>
      </c>
      <c r="F11" s="35"/>
      <c r="G11" s="52">
        <v>574.6860243655697</v>
      </c>
      <c r="H11" s="32">
        <v>25.0</v>
      </c>
      <c r="I11" s="32">
        <f t="shared" si="1"/>
        <v>4.769894002</v>
      </c>
      <c r="J11" s="33">
        <f t="shared" si="2"/>
        <v>604.4559184</v>
      </c>
      <c r="K11" s="34"/>
      <c r="L11" s="32">
        <f t="shared" si="3"/>
        <v>604.4559184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45691.0</v>
      </c>
      <c r="F12" s="35"/>
      <c r="G12" s="52">
        <v>375.1168670019591</v>
      </c>
      <c r="H12" s="32">
        <v>30.0</v>
      </c>
      <c r="I12" s="32">
        <f t="shared" si="1"/>
        <v>3.113469996</v>
      </c>
      <c r="J12" s="33">
        <f t="shared" si="2"/>
        <v>408.230337</v>
      </c>
      <c r="K12" s="34"/>
      <c r="L12" s="32">
        <f t="shared" si="3"/>
        <v>408.230337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45698.0</v>
      </c>
      <c r="F13" s="35"/>
      <c r="G13" s="52">
        <v>7872.445444017387</v>
      </c>
      <c r="H13" s="32">
        <v>60.44</v>
      </c>
      <c r="I13" s="32">
        <f t="shared" si="1"/>
        <v>65.34129719</v>
      </c>
      <c r="J13" s="33">
        <f t="shared" si="2"/>
        <v>7998.226741</v>
      </c>
      <c r="K13" s="34"/>
      <c r="L13" s="32">
        <f t="shared" si="3"/>
        <v>7998.226741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41">
        <v>8.0</v>
      </c>
      <c r="B14" s="34" t="s">
        <v>48</v>
      </c>
      <c r="C14" s="34" t="s">
        <v>91</v>
      </c>
      <c r="D14" s="34" t="s">
        <v>92</v>
      </c>
      <c r="E14" s="35">
        <v>45697.0</v>
      </c>
      <c r="F14" s="35"/>
      <c r="G14" s="52">
        <v>1865.655799016597</v>
      </c>
      <c r="H14" s="32">
        <v>100.0</v>
      </c>
      <c r="I14" s="32">
        <f t="shared" si="1"/>
        <v>15.48494313</v>
      </c>
      <c r="J14" s="33">
        <f t="shared" si="2"/>
        <v>1981.140742</v>
      </c>
      <c r="K14" s="51"/>
      <c r="L14" s="32">
        <f t="shared" si="3"/>
        <v>1981.140742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41">
        <v>9.0</v>
      </c>
      <c r="B15" s="30" t="s">
        <v>146</v>
      </c>
      <c r="C15" s="30" t="s">
        <v>91</v>
      </c>
      <c r="D15" s="30" t="s">
        <v>94</v>
      </c>
      <c r="E15" s="31">
        <v>45698.0</v>
      </c>
      <c r="F15" s="31"/>
      <c r="G15" s="52">
        <v>3774.320203962987</v>
      </c>
      <c r="H15" s="32">
        <v>20.0</v>
      </c>
      <c r="I15" s="33">
        <f t="shared" si="1"/>
        <v>31.32685769</v>
      </c>
      <c r="J15" s="33">
        <f t="shared" si="2"/>
        <v>3825.647062</v>
      </c>
      <c r="K15" s="30"/>
      <c r="L15" s="33">
        <f t="shared" si="3"/>
        <v>3825.647062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41">
        <v>10.0</v>
      </c>
      <c r="B16" s="30" t="s">
        <v>49</v>
      </c>
      <c r="C16" s="30" t="s">
        <v>91</v>
      </c>
      <c r="D16" s="30" t="s">
        <v>94</v>
      </c>
      <c r="E16" s="31">
        <v>45698.0</v>
      </c>
      <c r="F16" s="31" t="s">
        <v>38</v>
      </c>
      <c r="G16" s="52">
        <v>179.1867139464258</v>
      </c>
      <c r="H16" s="32">
        <v>10.0</v>
      </c>
      <c r="I16" s="33">
        <f t="shared" si="1"/>
        <v>1.487249726</v>
      </c>
      <c r="J16" s="33">
        <f t="shared" si="2"/>
        <v>190.6739637</v>
      </c>
      <c r="K16" s="30"/>
      <c r="L16" s="33">
        <f t="shared" si="3"/>
        <v>190.6739637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1">
        <v>45698.0</v>
      </c>
      <c r="F17" s="31" t="s">
        <v>39</v>
      </c>
      <c r="G17" s="52">
        <v>397.87348995610984</v>
      </c>
      <c r="H17" s="32">
        <v>20.0</v>
      </c>
      <c r="I17" s="33">
        <f t="shared" si="1"/>
        <v>3.302349967</v>
      </c>
      <c r="J17" s="33">
        <f t="shared" si="2"/>
        <v>421.1758399</v>
      </c>
      <c r="K17" s="30"/>
      <c r="L17" s="33">
        <f t="shared" si="3"/>
        <v>421.1758399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1">
        <v>45294.0</v>
      </c>
      <c r="F18" s="31" t="s">
        <v>34</v>
      </c>
      <c r="G18" s="52">
        <v>113.96172337150696</v>
      </c>
      <c r="H18" s="32"/>
      <c r="I18" s="33">
        <f t="shared" si="1"/>
        <v>0.945882304</v>
      </c>
      <c r="J18" s="33">
        <f t="shared" si="2"/>
        <v>114.9076057</v>
      </c>
      <c r="K18" s="30"/>
      <c r="L18" s="33">
        <f t="shared" si="3"/>
        <v>114.9076057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1">
        <v>45029.0</v>
      </c>
      <c r="F19" s="31" t="s">
        <v>38</v>
      </c>
      <c r="G19" s="52">
        <v>90.20817441570111</v>
      </c>
      <c r="H19" s="32"/>
      <c r="I19" s="33">
        <f t="shared" si="1"/>
        <v>0.7487278477</v>
      </c>
      <c r="J19" s="33">
        <f t="shared" si="2"/>
        <v>90.95690226</v>
      </c>
      <c r="K19" s="30"/>
      <c r="L19" s="33">
        <f t="shared" si="3"/>
        <v>90.95690226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1">
        <v>45387.0</v>
      </c>
      <c r="F20" s="31" t="s">
        <v>38</v>
      </c>
      <c r="G20" s="52">
        <v>247.21234719040396</v>
      </c>
      <c r="H20" s="32"/>
      <c r="I20" s="32">
        <f t="shared" si="1"/>
        <v>2.051862482</v>
      </c>
      <c r="J20" s="33">
        <f t="shared" si="2"/>
        <v>249.2642097</v>
      </c>
      <c r="K20" s="34"/>
      <c r="L20" s="32">
        <f t="shared" si="3"/>
        <v>249.2642097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5">
        <v>45692.0</v>
      </c>
      <c r="F21" s="35" t="s">
        <v>34</v>
      </c>
      <c r="G21" s="52">
        <v>1981.0053134584673</v>
      </c>
      <c r="H21" s="32">
        <v>100.0</v>
      </c>
      <c r="I21" s="33">
        <f t="shared" si="1"/>
        <v>16.4423441</v>
      </c>
      <c r="J21" s="33">
        <f t="shared" si="2"/>
        <v>2097.447658</v>
      </c>
      <c r="K21" s="30"/>
      <c r="L21" s="33">
        <f t="shared" si="3"/>
        <v>2097.447658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1">
        <v>45665.0</v>
      </c>
      <c r="F22" s="31" t="s">
        <v>33</v>
      </c>
      <c r="G22" s="52">
        <v>307.5531488759622</v>
      </c>
      <c r="H22" s="32"/>
      <c r="I22" s="33">
        <f t="shared" si="1"/>
        <v>2.552691136</v>
      </c>
      <c r="J22" s="33">
        <f t="shared" si="2"/>
        <v>310.10584</v>
      </c>
      <c r="K22" s="30"/>
      <c r="L22" s="33">
        <f t="shared" si="3"/>
        <v>310.10584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1">
        <v>45698.0</v>
      </c>
      <c r="F23" s="31" t="s">
        <v>38</v>
      </c>
      <c r="G23" s="52">
        <v>2102.671278969108</v>
      </c>
      <c r="H23" s="39">
        <v>25.0</v>
      </c>
      <c r="I23" s="32">
        <f t="shared" si="1"/>
        <v>17.45217162</v>
      </c>
      <c r="J23" s="33">
        <f t="shared" si="2"/>
        <v>2145.123451</v>
      </c>
      <c r="K23" s="34"/>
      <c r="L23" s="32">
        <f t="shared" si="3"/>
        <v>2145.123451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41">
        <v>18.0</v>
      </c>
      <c r="B24" s="34" t="s">
        <v>41</v>
      </c>
      <c r="C24" s="34" t="s">
        <v>91</v>
      </c>
      <c r="D24" s="30" t="s">
        <v>94</v>
      </c>
      <c r="E24" s="35">
        <v>45670.0</v>
      </c>
      <c r="F24" s="35" t="s">
        <v>34</v>
      </c>
      <c r="G24" s="52">
        <v>376.53596788040574</v>
      </c>
      <c r="H24" s="39"/>
      <c r="I24" s="33">
        <f t="shared" si="1"/>
        <v>3.125248533</v>
      </c>
      <c r="J24" s="33">
        <f t="shared" si="2"/>
        <v>379.6612164</v>
      </c>
      <c r="K24" s="30"/>
      <c r="L24" s="33">
        <f t="shared" si="3"/>
        <v>379.6612164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1">
        <v>45698.0</v>
      </c>
      <c r="F25" s="31" t="s">
        <v>39</v>
      </c>
      <c r="G25" s="52">
        <v>695.169738609044</v>
      </c>
      <c r="H25" s="39">
        <v>10.0</v>
      </c>
      <c r="I25" s="33">
        <f t="shared" si="1"/>
        <v>5.76990883</v>
      </c>
      <c r="J25" s="33">
        <f t="shared" si="2"/>
        <v>710.9396474</v>
      </c>
      <c r="K25" s="30"/>
      <c r="L25" s="33">
        <f t="shared" si="3"/>
        <v>710.9396474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>
        <v>45386.0</v>
      </c>
      <c r="F26" s="31" t="s">
        <v>34</v>
      </c>
      <c r="G26" s="52">
        <v>84.50733721373828</v>
      </c>
      <c r="H26" s="39"/>
      <c r="I26" s="32">
        <f t="shared" si="1"/>
        <v>0.7014108989</v>
      </c>
      <c r="J26" s="33">
        <f t="shared" si="2"/>
        <v>85.20874811</v>
      </c>
      <c r="K26" s="34"/>
      <c r="L26" s="32">
        <f t="shared" si="3"/>
        <v>85.20874811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52">
        <v>124.04503790005337</v>
      </c>
      <c r="H27" s="39"/>
      <c r="I27" s="33">
        <f t="shared" si="1"/>
        <v>1.029573815</v>
      </c>
      <c r="J27" s="33">
        <f t="shared" si="2"/>
        <v>125.0746117</v>
      </c>
      <c r="K27" s="30"/>
      <c r="L27" s="33">
        <f t="shared" si="3"/>
        <v>125.0746117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52">
        <v>146.04173450691854</v>
      </c>
      <c r="H28" s="39"/>
      <c r="I28" s="33">
        <f t="shared" si="1"/>
        <v>1.212146396</v>
      </c>
      <c r="J28" s="33">
        <f t="shared" si="2"/>
        <v>147.2538809</v>
      </c>
      <c r="K28" s="30"/>
      <c r="L28" s="33">
        <f t="shared" si="3"/>
        <v>147.2538809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45422.0</v>
      </c>
      <c r="F29" s="31" t="s">
        <v>39</v>
      </c>
      <c r="G29" s="52">
        <v>1052.8161839719278</v>
      </c>
      <c r="H29" s="39"/>
      <c r="I29" s="33">
        <f t="shared" si="1"/>
        <v>8.738374327</v>
      </c>
      <c r="J29" s="33">
        <f t="shared" si="2"/>
        <v>1061.554558</v>
      </c>
      <c r="K29" s="30"/>
      <c r="L29" s="33">
        <f t="shared" si="3"/>
        <v>1061.554558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45420.0</v>
      </c>
      <c r="F30" s="31" t="s">
        <v>40</v>
      </c>
      <c r="G30" s="52">
        <v>688.5118449257346</v>
      </c>
      <c r="H30" s="39"/>
      <c r="I30" s="33">
        <f t="shared" si="1"/>
        <v>5.714648313</v>
      </c>
      <c r="J30" s="33">
        <f t="shared" si="2"/>
        <v>694.2264932</v>
      </c>
      <c r="K30" s="30"/>
      <c r="L30" s="33">
        <f t="shared" si="3"/>
        <v>694.2264932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45383.0</v>
      </c>
      <c r="F31" s="31" t="s">
        <v>39</v>
      </c>
      <c r="G31" s="52">
        <v>45.22927452795349</v>
      </c>
      <c r="H31" s="39"/>
      <c r="I31" s="33">
        <f t="shared" si="1"/>
        <v>0.3754029786</v>
      </c>
      <c r="J31" s="33">
        <f t="shared" si="2"/>
        <v>45.60467751</v>
      </c>
      <c r="K31" s="30"/>
      <c r="L31" s="33">
        <f t="shared" si="3"/>
        <v>45.60467751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52">
        <v>69.3529429625992</v>
      </c>
      <c r="H32" s="39"/>
      <c r="I32" s="33">
        <f t="shared" si="1"/>
        <v>0.5756294266</v>
      </c>
      <c r="J32" s="33">
        <f t="shared" si="2"/>
        <v>69.92857239</v>
      </c>
      <c r="K32" s="30"/>
      <c r="L32" s="33">
        <f t="shared" si="3"/>
        <v>69.92857239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52">
        <v>234.00689698936455</v>
      </c>
      <c r="H33" s="32"/>
      <c r="I33" s="33">
        <f t="shared" si="1"/>
        <v>1.942257245</v>
      </c>
      <c r="J33" s="33">
        <f t="shared" si="2"/>
        <v>235.9491542</v>
      </c>
      <c r="K33" s="30"/>
      <c r="L33" s="33">
        <f t="shared" si="3"/>
        <v>235.9491542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45427.0</v>
      </c>
      <c r="F34" s="31" t="s">
        <v>39</v>
      </c>
      <c r="G34" s="52">
        <v>71.25648771222221</v>
      </c>
      <c r="H34" s="32"/>
      <c r="I34" s="33">
        <f t="shared" si="1"/>
        <v>0.591428848</v>
      </c>
      <c r="J34" s="33">
        <f t="shared" si="2"/>
        <v>71.84791656</v>
      </c>
      <c r="K34" s="30"/>
      <c r="L34" s="33">
        <f t="shared" si="3"/>
        <v>71.84791656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45235.0</v>
      </c>
      <c r="F35" s="31"/>
      <c r="G35" s="52">
        <v>865.1935570035552</v>
      </c>
      <c r="H35" s="32"/>
      <c r="I35" s="33">
        <f t="shared" si="1"/>
        <v>7.181106523</v>
      </c>
      <c r="J35" s="33">
        <f t="shared" si="2"/>
        <v>872.3746635</v>
      </c>
      <c r="K35" s="30"/>
      <c r="L35" s="33">
        <f t="shared" si="3"/>
        <v>872.3746635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52">
        <v>16.887590796755095</v>
      </c>
      <c r="H36" s="32"/>
      <c r="I36" s="33">
        <f t="shared" si="1"/>
        <v>0.1401670036</v>
      </c>
      <c r="J36" s="33">
        <f t="shared" si="2"/>
        <v>17.0277578</v>
      </c>
      <c r="K36" s="30"/>
      <c r="L36" s="33">
        <f t="shared" si="3"/>
        <v>17.0277578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41">
        <v>31.0</v>
      </c>
      <c r="B37" s="30" t="s">
        <v>104</v>
      </c>
      <c r="C37" s="30" t="s">
        <v>93</v>
      </c>
      <c r="D37" s="30" t="s">
        <v>94</v>
      </c>
      <c r="E37" s="31">
        <v>45710.0</v>
      </c>
      <c r="F37" s="31"/>
      <c r="G37" s="52">
        <v>228.3485534121447</v>
      </c>
      <c r="H37" s="32">
        <v>20.0</v>
      </c>
      <c r="I37" s="33">
        <f t="shared" si="1"/>
        <v>1.895292993</v>
      </c>
      <c r="J37" s="33">
        <f t="shared" si="2"/>
        <v>250.2438464</v>
      </c>
      <c r="K37" s="30"/>
      <c r="L37" s="33">
        <f t="shared" si="3"/>
        <v>250.2438464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41">
        <v>32.0</v>
      </c>
      <c r="B38" s="34" t="s">
        <v>106</v>
      </c>
      <c r="C38" s="34"/>
      <c r="D38" s="34" t="s">
        <v>94</v>
      </c>
      <c r="E38" s="35">
        <v>45689.0</v>
      </c>
      <c r="F38" s="35"/>
      <c r="G38" s="52">
        <v>175.01495660451835</v>
      </c>
      <c r="H38" s="32">
        <v>20.0</v>
      </c>
      <c r="I38" s="32">
        <f t="shared" si="1"/>
        <v>1.45262414</v>
      </c>
      <c r="J38" s="33">
        <f t="shared" si="2"/>
        <v>196.4675807</v>
      </c>
      <c r="K38" s="34"/>
      <c r="L38" s="32">
        <f t="shared" si="3"/>
        <v>196.4675807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107</v>
      </c>
      <c r="C39" s="34"/>
      <c r="D39" s="34" t="s">
        <v>94</v>
      </c>
      <c r="E39" s="35">
        <v>45779.0</v>
      </c>
      <c r="F39" s="35"/>
      <c r="G39" s="52">
        <v>219.07819429291425</v>
      </c>
      <c r="H39" s="32">
        <v>20.0</v>
      </c>
      <c r="I39" s="32">
        <f t="shared" si="1"/>
        <v>1.818349013</v>
      </c>
      <c r="J39" s="33">
        <f t="shared" si="2"/>
        <v>240.8965433</v>
      </c>
      <c r="K39" s="34"/>
      <c r="L39" s="32">
        <f t="shared" si="3"/>
        <v>240.8965433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108</v>
      </c>
      <c r="C40" s="34"/>
      <c r="D40" s="34" t="s">
        <v>94</v>
      </c>
      <c r="E40" s="35">
        <v>45330.0</v>
      </c>
      <c r="F40" s="35"/>
      <c r="G40" s="52">
        <v>60.97365785496537</v>
      </c>
      <c r="H40" s="32"/>
      <c r="I40" s="32">
        <f t="shared" si="1"/>
        <v>0.5060813602</v>
      </c>
      <c r="J40" s="33">
        <f t="shared" si="2"/>
        <v>61.47973922</v>
      </c>
      <c r="K40" s="34"/>
      <c r="L40" s="32">
        <f t="shared" si="3"/>
        <v>61.47973922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111</v>
      </c>
      <c r="C41" s="34"/>
      <c r="D41" s="34" t="s">
        <v>94</v>
      </c>
      <c r="E41" s="35">
        <v>45333.0</v>
      </c>
      <c r="F41" s="35"/>
      <c r="G41" s="52">
        <v>56.24182361311689</v>
      </c>
      <c r="H41" s="32"/>
      <c r="I41" s="32">
        <f t="shared" si="1"/>
        <v>0.466807136</v>
      </c>
      <c r="J41" s="33">
        <f t="shared" si="2"/>
        <v>56.70863075</v>
      </c>
      <c r="K41" s="34"/>
      <c r="L41" s="32">
        <f t="shared" si="3"/>
        <v>56.70863075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4" t="s">
        <v>112</v>
      </c>
      <c r="C42" s="34"/>
      <c r="D42" s="34" t="s">
        <v>94</v>
      </c>
      <c r="E42" s="35">
        <v>45245.0</v>
      </c>
      <c r="F42" s="35"/>
      <c r="G42" s="52">
        <v>22.5468216198586</v>
      </c>
      <c r="H42" s="32"/>
      <c r="I42" s="32">
        <f t="shared" si="1"/>
        <v>0.1871386194</v>
      </c>
      <c r="J42" s="33">
        <f t="shared" si="2"/>
        <v>22.73396024</v>
      </c>
      <c r="K42" s="34"/>
      <c r="L42" s="32">
        <f t="shared" si="3"/>
        <v>22.73396024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41">
        <v>37.0</v>
      </c>
      <c r="B43" s="34" t="s">
        <v>116</v>
      </c>
      <c r="C43" s="34"/>
      <c r="D43" s="34" t="s">
        <v>94</v>
      </c>
      <c r="E43" s="35">
        <v>45293.0</v>
      </c>
      <c r="F43" s="35"/>
      <c r="G43" s="52">
        <v>11.042749138283444</v>
      </c>
      <c r="H43" s="32"/>
      <c r="I43" s="32">
        <f t="shared" si="1"/>
        <v>0.09165481785</v>
      </c>
      <c r="J43" s="33">
        <f t="shared" si="2"/>
        <v>11.13440396</v>
      </c>
      <c r="K43" s="34"/>
      <c r="L43" s="32">
        <f t="shared" si="3"/>
        <v>11.13440396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118</v>
      </c>
      <c r="C44" s="30"/>
      <c r="D44" s="30" t="s">
        <v>94</v>
      </c>
      <c r="E44" s="31">
        <v>45303.0</v>
      </c>
      <c r="F44" s="31"/>
      <c r="G44" s="52">
        <v>22.085498276566888</v>
      </c>
      <c r="H44" s="32"/>
      <c r="I44" s="33">
        <f t="shared" si="1"/>
        <v>0.1833096357</v>
      </c>
      <c r="J44" s="33">
        <f t="shared" si="2"/>
        <v>22.26880791</v>
      </c>
      <c r="K44" s="30"/>
      <c r="L44" s="33">
        <f t="shared" si="3"/>
        <v>22.26880791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0" t="s">
        <v>120</v>
      </c>
      <c r="C45" s="30"/>
      <c r="D45" s="30" t="s">
        <v>94</v>
      </c>
      <c r="E45" s="31">
        <v>45699.0</v>
      </c>
      <c r="F45" s="31"/>
      <c r="G45" s="32">
        <v>125.63242629921044</v>
      </c>
      <c r="H45" s="32">
        <v>10.0</v>
      </c>
      <c r="I45" s="33">
        <f t="shared" si="1"/>
        <v>1.042749138</v>
      </c>
      <c r="J45" s="33">
        <f t="shared" si="2"/>
        <v>136.6751754</v>
      </c>
      <c r="K45" s="30"/>
      <c r="L45" s="33">
        <f t="shared" si="3"/>
        <v>136.6751754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30.0" customHeight="1">
      <c r="A46" s="41">
        <v>40.0</v>
      </c>
      <c r="B46" s="30" t="s">
        <v>121</v>
      </c>
      <c r="C46" s="30"/>
      <c r="D46" s="30" t="s">
        <v>94</v>
      </c>
      <c r="E46" s="31">
        <v>45324.0</v>
      </c>
      <c r="F46" s="31"/>
      <c r="G46" s="52">
        <v>10.951848793299062</v>
      </c>
      <c r="H46" s="32"/>
      <c r="I46" s="33">
        <f t="shared" si="1"/>
        <v>0.09090034498</v>
      </c>
      <c r="J46" s="33">
        <f t="shared" si="2"/>
        <v>11.04274914</v>
      </c>
      <c r="K46" s="30"/>
      <c r="L46" s="33">
        <f t="shared" si="3"/>
        <v>11.04274914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41">
        <v>41.0</v>
      </c>
      <c r="B47" s="30" t="s">
        <v>124</v>
      </c>
      <c r="C47" s="30"/>
      <c r="D47" s="30" t="s">
        <v>94</v>
      </c>
      <c r="E47" s="31">
        <v>45700.0</v>
      </c>
      <c r="F47" s="31"/>
      <c r="G47" s="53">
        <v>82.7191614181344</v>
      </c>
      <c r="H47" s="32">
        <v>10.0</v>
      </c>
      <c r="I47" s="33">
        <f t="shared" si="1"/>
        <v>0.6865690398</v>
      </c>
      <c r="J47" s="33">
        <f t="shared" si="2"/>
        <v>93.40573046</v>
      </c>
      <c r="K47" s="13"/>
      <c r="L47" s="33">
        <f t="shared" si="3"/>
        <v>93.40573046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30.0" customHeight="1">
      <c r="A48" s="41">
        <v>42.0</v>
      </c>
      <c r="B48" s="13" t="s">
        <v>125</v>
      </c>
      <c r="C48" s="13"/>
      <c r="D48" s="30" t="s">
        <v>94</v>
      </c>
      <c r="E48" s="14">
        <v>45423.0</v>
      </c>
      <c r="F48" s="14"/>
      <c r="G48" s="53">
        <v>107.36890735830923</v>
      </c>
      <c r="H48" s="32"/>
      <c r="I48" s="33">
        <f t="shared" si="1"/>
        <v>0.8911619311</v>
      </c>
      <c r="J48" s="33">
        <f t="shared" si="2"/>
        <v>108.2600693</v>
      </c>
      <c r="K48" s="13"/>
      <c r="L48" s="33">
        <f t="shared" si="3"/>
        <v>108.2600693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30.0" customHeight="1">
      <c r="A49" s="41">
        <v>43.0</v>
      </c>
      <c r="B49" s="54" t="s">
        <v>126</v>
      </c>
      <c r="C49" s="13"/>
      <c r="D49" s="30" t="s">
        <v>94</v>
      </c>
      <c r="E49" s="14">
        <v>45695.0</v>
      </c>
      <c r="F49" s="14"/>
      <c r="G49" s="53">
        <v>282.7199917678597</v>
      </c>
      <c r="H49" s="32">
        <v>5.0</v>
      </c>
      <c r="I49" s="33">
        <f t="shared" si="1"/>
        <v>2.346575932</v>
      </c>
      <c r="J49" s="33">
        <f t="shared" si="2"/>
        <v>290.0665677</v>
      </c>
      <c r="K49" s="13"/>
      <c r="L49" s="33">
        <f t="shared" si="3"/>
        <v>290.0665677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41">
        <v>44.0</v>
      </c>
      <c r="B50" s="13" t="s">
        <v>127</v>
      </c>
      <c r="C50" s="13"/>
      <c r="D50" s="30" t="s">
        <v>94</v>
      </c>
      <c r="E50" s="14">
        <v>45420.0</v>
      </c>
      <c r="F50" s="14"/>
      <c r="G50" s="53">
        <v>43.09061891110786</v>
      </c>
      <c r="H50" s="32"/>
      <c r="I50" s="33">
        <f t="shared" si="1"/>
        <v>0.357652137</v>
      </c>
      <c r="J50" s="33">
        <f t="shared" si="2"/>
        <v>43.44827105</v>
      </c>
      <c r="K50" s="13"/>
      <c r="L50" s="33">
        <f t="shared" si="3"/>
        <v>43.44827105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41">
        <v>45.0</v>
      </c>
      <c r="B51" s="13" t="s">
        <v>128</v>
      </c>
      <c r="C51" s="13"/>
      <c r="D51" s="30" t="s">
        <v>94</v>
      </c>
      <c r="E51" s="14">
        <v>45699.0</v>
      </c>
      <c r="F51" s="14"/>
      <c r="G51" s="53">
        <v>114.68057750591137</v>
      </c>
      <c r="H51" s="32">
        <v>10.0</v>
      </c>
      <c r="I51" s="33">
        <f t="shared" si="1"/>
        <v>0.9518487933</v>
      </c>
      <c r="J51" s="33">
        <f t="shared" si="2"/>
        <v>125.6324263</v>
      </c>
      <c r="K51" s="13"/>
      <c r="L51" s="33">
        <f t="shared" si="3"/>
        <v>125.6324263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13" t="s">
        <v>129</v>
      </c>
      <c r="C52" s="13"/>
      <c r="D52" s="30" t="s">
        <v>94</v>
      </c>
      <c r="E52" s="14">
        <v>45696.0</v>
      </c>
      <c r="F52" s="14" t="s">
        <v>101</v>
      </c>
      <c r="G52" s="53">
        <v>1133.031390118268</v>
      </c>
      <c r="H52" s="32">
        <v>10.0</v>
      </c>
      <c r="I52" s="33">
        <f t="shared" si="1"/>
        <v>9.404160538</v>
      </c>
      <c r="J52" s="33">
        <f t="shared" si="2"/>
        <v>1152.435551</v>
      </c>
      <c r="K52" s="13"/>
      <c r="L52" s="33">
        <f t="shared" si="3"/>
        <v>1152.435551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13" t="s">
        <v>132</v>
      </c>
      <c r="C53" s="13"/>
      <c r="D53" s="30" t="s">
        <v>94</v>
      </c>
      <c r="E53" s="14">
        <v>45420.0</v>
      </c>
      <c r="F53" s="14"/>
      <c r="G53" s="53">
        <v>16.06975611032084</v>
      </c>
      <c r="H53" s="32"/>
      <c r="I53" s="33">
        <f t="shared" si="1"/>
        <v>0.1333789757</v>
      </c>
      <c r="J53" s="33">
        <f t="shared" si="2"/>
        <v>16.20313509</v>
      </c>
      <c r="K53" s="13"/>
      <c r="L53" s="33">
        <f t="shared" si="3"/>
        <v>16.20313509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133</v>
      </c>
      <c r="C54" s="13"/>
      <c r="D54" s="30" t="s">
        <v>94</v>
      </c>
      <c r="E54" s="14">
        <v>45691.0</v>
      </c>
      <c r="F54" s="14"/>
      <c r="G54" s="59">
        <v>461.8421648388095</v>
      </c>
      <c r="H54" s="32">
        <v>50.0</v>
      </c>
      <c r="I54" s="33">
        <f t="shared" si="1"/>
        <v>3.833289968</v>
      </c>
      <c r="J54" s="33">
        <f t="shared" si="2"/>
        <v>515.6754548</v>
      </c>
      <c r="K54" s="13"/>
      <c r="L54" s="33">
        <f t="shared" si="3"/>
        <v>515.6754548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30" t="s">
        <v>134</v>
      </c>
      <c r="C55" s="13"/>
      <c r="D55" s="30" t="s">
        <v>94</v>
      </c>
      <c r="E55" s="14">
        <v>45390.0</v>
      </c>
      <c r="F55" s="14" t="s">
        <v>131</v>
      </c>
      <c r="G55" s="53">
        <v>21.455899475688824</v>
      </c>
      <c r="H55" s="32"/>
      <c r="I55" s="33">
        <f t="shared" si="1"/>
        <v>0.1780839656</v>
      </c>
      <c r="J55" s="33">
        <f t="shared" si="2"/>
        <v>21.63398344</v>
      </c>
      <c r="K55" s="13"/>
      <c r="L55" s="33">
        <f t="shared" si="3"/>
        <v>21.63398344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13" t="s">
        <v>135</v>
      </c>
      <c r="C56" s="13"/>
      <c r="D56" s="30" t="s">
        <v>94</v>
      </c>
      <c r="E56" s="14">
        <v>45699.0</v>
      </c>
      <c r="F56" s="14" t="s">
        <v>131</v>
      </c>
      <c r="G56" s="53">
        <v>164.9905247253595</v>
      </c>
      <c r="H56" s="32">
        <v>20.0</v>
      </c>
      <c r="I56" s="33">
        <f t="shared" si="1"/>
        <v>1.369421355</v>
      </c>
      <c r="J56" s="33">
        <f t="shared" si="2"/>
        <v>186.3599461</v>
      </c>
      <c r="K56" s="13"/>
      <c r="L56" s="33">
        <f t="shared" si="3"/>
        <v>186.3599461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136</v>
      </c>
      <c r="C57" s="13"/>
      <c r="D57" s="30" t="s">
        <v>94</v>
      </c>
      <c r="E57" s="14">
        <v>45390.0</v>
      </c>
      <c r="F57" s="14" t="s">
        <v>131</v>
      </c>
      <c r="G57" s="53">
        <v>21.455899475688824</v>
      </c>
      <c r="H57" s="32"/>
      <c r="I57" s="33">
        <f t="shared" si="1"/>
        <v>0.1780839656</v>
      </c>
      <c r="J57" s="33">
        <f t="shared" si="2"/>
        <v>21.63398344</v>
      </c>
      <c r="K57" s="13"/>
      <c r="L57" s="33">
        <f t="shared" si="3"/>
        <v>21.63398344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138</v>
      </c>
      <c r="C58" s="13"/>
      <c r="D58" s="30" t="s">
        <v>94</v>
      </c>
      <c r="E58" s="14">
        <v>45420.0</v>
      </c>
      <c r="F58" s="14"/>
      <c r="G58" s="53">
        <v>10.683612744952857</v>
      </c>
      <c r="H58" s="32"/>
      <c r="I58" s="33">
        <f t="shared" si="1"/>
        <v>0.08867398578</v>
      </c>
      <c r="J58" s="33">
        <f t="shared" si="2"/>
        <v>10.77228673</v>
      </c>
      <c r="K58" s="13"/>
      <c r="L58" s="33">
        <f t="shared" si="3"/>
        <v>10.77228673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142</v>
      </c>
      <c r="C59" s="13"/>
      <c r="D59" s="30" t="s">
        <v>94</v>
      </c>
      <c r="E59" s="14">
        <v>45702.0</v>
      </c>
      <c r="F59" s="14"/>
      <c r="G59" s="53">
        <v>35.798201945001075</v>
      </c>
      <c r="H59" s="32">
        <v>20.0</v>
      </c>
      <c r="I59" s="33">
        <f t="shared" si="1"/>
        <v>0.2971250761</v>
      </c>
      <c r="J59" s="33">
        <f t="shared" si="2"/>
        <v>56.09532702</v>
      </c>
      <c r="K59" s="13"/>
      <c r="L59" s="33">
        <f t="shared" si="3"/>
        <v>56.09532702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153</v>
      </c>
      <c r="C60" s="13" t="s">
        <v>93</v>
      </c>
      <c r="D60" s="30" t="s">
        <v>94</v>
      </c>
      <c r="E60" s="14">
        <v>45690.0</v>
      </c>
      <c r="F60" s="14"/>
      <c r="G60" s="53">
        <v>50.0</v>
      </c>
      <c r="H60" s="32">
        <v>50.0</v>
      </c>
      <c r="I60" s="33">
        <f t="shared" si="1"/>
        <v>0.415</v>
      </c>
      <c r="J60" s="33">
        <f t="shared" si="2"/>
        <v>100.415</v>
      </c>
      <c r="K60" s="13"/>
      <c r="L60" s="33">
        <f t="shared" si="3"/>
        <v>100.415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154</v>
      </c>
      <c r="C61" s="13"/>
      <c r="D61" s="30" t="s">
        <v>94</v>
      </c>
      <c r="E61" s="14">
        <v>45695.0</v>
      </c>
      <c r="F61" s="14"/>
      <c r="G61" s="32">
        <v>100.0</v>
      </c>
      <c r="H61" s="32">
        <v>50.0</v>
      </c>
      <c r="I61" s="33">
        <f t="shared" si="1"/>
        <v>0.83</v>
      </c>
      <c r="J61" s="33">
        <f t="shared" si="2"/>
        <v>150.83</v>
      </c>
      <c r="K61" s="13"/>
      <c r="L61" s="33">
        <f t="shared" si="3"/>
        <v>150.83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3" t="s">
        <v>155</v>
      </c>
      <c r="C62" s="13"/>
      <c r="D62" s="30" t="s">
        <v>94</v>
      </c>
      <c r="E62" s="14">
        <v>45692.0</v>
      </c>
      <c r="F62" s="14"/>
      <c r="G62" s="32">
        <v>50.0</v>
      </c>
      <c r="H62" s="32">
        <v>30.0</v>
      </c>
      <c r="I62" s="33">
        <f t="shared" si="1"/>
        <v>0.415</v>
      </c>
      <c r="J62" s="33">
        <f t="shared" si="2"/>
        <v>80.415</v>
      </c>
      <c r="K62" s="13"/>
      <c r="L62" s="33">
        <f t="shared" si="3"/>
        <v>80.415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41">
        <v>57.0</v>
      </c>
      <c r="B63" s="13" t="s">
        <v>156</v>
      </c>
      <c r="C63" s="13"/>
      <c r="D63" s="30" t="s">
        <v>94</v>
      </c>
      <c r="E63" s="14">
        <v>45670.0</v>
      </c>
      <c r="F63" s="14"/>
      <c r="G63" s="32">
        <v>10.0</v>
      </c>
      <c r="H63" s="32"/>
      <c r="I63" s="33">
        <f t="shared" si="1"/>
        <v>0.083</v>
      </c>
      <c r="J63" s="33">
        <f t="shared" si="2"/>
        <v>10.083</v>
      </c>
      <c r="K63" s="13"/>
      <c r="L63" s="33">
        <f t="shared" si="3"/>
        <v>10.083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157</v>
      </c>
      <c r="C64" s="13"/>
      <c r="D64" s="30" t="s">
        <v>94</v>
      </c>
      <c r="E64" s="14">
        <v>45702.0</v>
      </c>
      <c r="F64" s="14"/>
      <c r="G64" s="32">
        <v>5.0</v>
      </c>
      <c r="H64" s="32">
        <v>5.0</v>
      </c>
      <c r="I64" s="16">
        <f t="shared" si="1"/>
        <v>0.0415</v>
      </c>
      <c r="J64" s="33">
        <f t="shared" si="2"/>
        <v>10.0415</v>
      </c>
      <c r="K64" s="13"/>
      <c r="L64" s="33">
        <f t="shared" si="3"/>
        <v>10.0415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3" t="s">
        <v>159</v>
      </c>
      <c r="C65" s="13"/>
      <c r="D65" s="30" t="s">
        <v>94</v>
      </c>
      <c r="E65" s="14">
        <v>45691.0</v>
      </c>
      <c r="F65" s="14"/>
      <c r="G65" s="32"/>
      <c r="H65" s="32">
        <v>50.0</v>
      </c>
      <c r="I65" s="16">
        <f t="shared" si="1"/>
        <v>0</v>
      </c>
      <c r="J65" s="33">
        <f t="shared" si="2"/>
        <v>50</v>
      </c>
      <c r="K65" s="13"/>
      <c r="L65" s="33">
        <f t="shared" si="3"/>
        <v>50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30.0" customHeight="1">
      <c r="A66" s="41">
        <v>60.0</v>
      </c>
      <c r="B66" s="13" t="s">
        <v>160</v>
      </c>
      <c r="C66" s="13"/>
      <c r="D66" s="30" t="s">
        <v>94</v>
      </c>
      <c r="E66" s="14">
        <v>45710.0</v>
      </c>
      <c r="F66" s="14"/>
      <c r="G66" s="32"/>
      <c r="H66" s="32">
        <v>5.0</v>
      </c>
      <c r="I66" s="16">
        <f t="shared" si="1"/>
        <v>0</v>
      </c>
      <c r="J66" s="33">
        <f t="shared" si="2"/>
        <v>5</v>
      </c>
      <c r="K66" s="13"/>
      <c r="L66" s="33">
        <f t="shared" si="3"/>
        <v>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0" customHeight="1">
      <c r="A67" s="17"/>
      <c r="B67" s="13"/>
      <c r="C67" s="13"/>
      <c r="D67" s="13"/>
      <c r="E67" s="13"/>
      <c r="F67" s="13"/>
      <c r="G67" s="55">
        <f t="shared" ref="G67:L67" si="4">SUM(G7:G66)</f>
        <v>49110.3278</v>
      </c>
      <c r="H67" s="55">
        <f t="shared" si="4"/>
        <v>915.44</v>
      </c>
      <c r="I67" s="55">
        <f t="shared" si="4"/>
        <v>407.6157208</v>
      </c>
      <c r="J67" s="55">
        <f t="shared" si="4"/>
        <v>50433.38353</v>
      </c>
      <c r="K67" s="55">
        <f t="shared" si="4"/>
        <v>0</v>
      </c>
      <c r="L67" s="55">
        <f t="shared" si="4"/>
        <v>50433.38353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21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67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158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45422.0</v>
      </c>
      <c r="F7" s="31"/>
      <c r="G7" s="52">
        <v>4825.133881113532</v>
      </c>
      <c r="H7" s="32"/>
      <c r="I7" s="33">
        <f t="shared" ref="I7:I66" si="1">G7*0.83%</f>
        <v>40.04861121</v>
      </c>
      <c r="J7" s="33">
        <f t="shared" ref="J7:J66" si="2">G7+H7+I7</f>
        <v>4865.182492</v>
      </c>
      <c r="K7" s="30"/>
      <c r="L7" s="33">
        <f t="shared" ref="L7:L66" si="3">J7-K7</f>
        <v>4865.182492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45726.0</v>
      </c>
      <c r="F8" s="31"/>
      <c r="G8" s="52">
        <v>8176.160570810125</v>
      </c>
      <c r="H8" s="32">
        <v>30.0</v>
      </c>
      <c r="I8" s="33">
        <f t="shared" si="1"/>
        <v>67.86213274</v>
      </c>
      <c r="J8" s="33">
        <f t="shared" si="2"/>
        <v>8274.022704</v>
      </c>
      <c r="K8" s="30"/>
      <c r="L8" s="33">
        <f t="shared" si="3"/>
        <v>8274.022704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45698.0</v>
      </c>
      <c r="F9" s="31"/>
      <c r="G9" s="52">
        <v>8211.864332525174</v>
      </c>
      <c r="H9" s="32"/>
      <c r="I9" s="33">
        <f t="shared" si="1"/>
        <v>68.15847396</v>
      </c>
      <c r="J9" s="33">
        <f t="shared" si="2"/>
        <v>8280.022806</v>
      </c>
      <c r="K9" s="30"/>
      <c r="L9" s="33">
        <f t="shared" si="3"/>
        <v>8280.022806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52">
        <v>208.15790364450038</v>
      </c>
      <c r="H10" s="32"/>
      <c r="I10" s="32">
        <f t="shared" si="1"/>
        <v>1.7277106</v>
      </c>
      <c r="J10" s="33">
        <f t="shared" si="2"/>
        <v>209.8856142</v>
      </c>
      <c r="K10" s="51"/>
      <c r="L10" s="32">
        <f t="shared" si="3"/>
        <v>209.8856142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45699.0</v>
      </c>
      <c r="F11" s="35"/>
      <c r="G11" s="52">
        <v>604.4559183678039</v>
      </c>
      <c r="H11" s="32"/>
      <c r="I11" s="32">
        <f t="shared" si="1"/>
        <v>5.016984122</v>
      </c>
      <c r="J11" s="33">
        <f t="shared" si="2"/>
        <v>609.4729025</v>
      </c>
      <c r="K11" s="34"/>
      <c r="L11" s="32">
        <f t="shared" si="3"/>
        <v>609.4729025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45723.0</v>
      </c>
      <c r="F12" s="35"/>
      <c r="G12" s="52">
        <v>408.23033699807536</v>
      </c>
      <c r="H12" s="32">
        <v>30.0</v>
      </c>
      <c r="I12" s="32">
        <f t="shared" si="1"/>
        <v>3.388311797</v>
      </c>
      <c r="J12" s="33">
        <f t="shared" si="2"/>
        <v>441.6186488</v>
      </c>
      <c r="K12" s="34"/>
      <c r="L12" s="32">
        <f t="shared" si="3"/>
        <v>441.6186488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45726.0</v>
      </c>
      <c r="F13" s="35"/>
      <c r="G13" s="52">
        <v>7998.22674120273</v>
      </c>
      <c r="H13" s="32">
        <v>43.76</v>
      </c>
      <c r="I13" s="32">
        <f t="shared" si="1"/>
        <v>66.38528195</v>
      </c>
      <c r="J13" s="33">
        <f t="shared" si="2"/>
        <v>8108.372023</v>
      </c>
      <c r="K13" s="34"/>
      <c r="L13" s="32">
        <f t="shared" si="3"/>
        <v>8108.372023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41">
        <v>8.0</v>
      </c>
      <c r="B14" s="34" t="s">
        <v>48</v>
      </c>
      <c r="C14" s="34" t="s">
        <v>91</v>
      </c>
      <c r="D14" s="34" t="s">
        <v>92</v>
      </c>
      <c r="E14" s="35">
        <v>45735.0</v>
      </c>
      <c r="F14" s="35"/>
      <c r="G14" s="52">
        <v>1981.1407421484348</v>
      </c>
      <c r="H14" s="32">
        <v>50.0</v>
      </c>
      <c r="I14" s="32">
        <f t="shared" si="1"/>
        <v>16.44346816</v>
      </c>
      <c r="J14" s="33">
        <f t="shared" si="2"/>
        <v>2047.58421</v>
      </c>
      <c r="K14" s="51"/>
      <c r="L14" s="32">
        <f t="shared" si="3"/>
        <v>2047.58421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41">
        <v>9.0</v>
      </c>
      <c r="B15" s="30" t="s">
        <v>146</v>
      </c>
      <c r="C15" s="30" t="s">
        <v>91</v>
      </c>
      <c r="D15" s="30" t="s">
        <v>94</v>
      </c>
      <c r="E15" s="31">
        <v>45723.0</v>
      </c>
      <c r="F15" s="31"/>
      <c r="G15" s="52">
        <v>3825.6470616558795</v>
      </c>
      <c r="H15" s="32">
        <v>50.0</v>
      </c>
      <c r="I15" s="33">
        <f t="shared" si="1"/>
        <v>31.75287061</v>
      </c>
      <c r="J15" s="33">
        <f t="shared" si="2"/>
        <v>3907.399932</v>
      </c>
      <c r="K15" s="30"/>
      <c r="L15" s="33">
        <f t="shared" si="3"/>
        <v>3907.399932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41">
        <v>10.0</v>
      </c>
      <c r="B16" s="30" t="s">
        <v>49</v>
      </c>
      <c r="C16" s="30" t="s">
        <v>91</v>
      </c>
      <c r="D16" s="30" t="s">
        <v>94</v>
      </c>
      <c r="E16" s="31">
        <v>45722.0</v>
      </c>
      <c r="F16" s="31" t="s">
        <v>38</v>
      </c>
      <c r="G16" s="52">
        <v>190.67396367218115</v>
      </c>
      <c r="H16" s="32">
        <v>10.0</v>
      </c>
      <c r="I16" s="33">
        <f t="shared" si="1"/>
        <v>1.582593898</v>
      </c>
      <c r="J16" s="33">
        <f t="shared" si="2"/>
        <v>202.2565576</v>
      </c>
      <c r="K16" s="30"/>
      <c r="L16" s="33">
        <f t="shared" si="3"/>
        <v>202.2565576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1">
        <v>45727.0</v>
      </c>
      <c r="F17" s="31" t="s">
        <v>39</v>
      </c>
      <c r="G17" s="52">
        <v>421.1758399227455</v>
      </c>
      <c r="H17" s="32">
        <v>10.0</v>
      </c>
      <c r="I17" s="33">
        <f t="shared" si="1"/>
        <v>3.495759471</v>
      </c>
      <c r="J17" s="33">
        <f t="shared" si="2"/>
        <v>434.6715994</v>
      </c>
      <c r="K17" s="30"/>
      <c r="L17" s="33">
        <f t="shared" si="3"/>
        <v>434.6715994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1">
        <v>45294.0</v>
      </c>
      <c r="F18" s="31" t="s">
        <v>34</v>
      </c>
      <c r="G18" s="52">
        <v>114.90760567549047</v>
      </c>
      <c r="H18" s="32"/>
      <c r="I18" s="33">
        <f t="shared" si="1"/>
        <v>0.9537331271</v>
      </c>
      <c r="J18" s="33">
        <f t="shared" si="2"/>
        <v>115.8613388</v>
      </c>
      <c r="K18" s="30"/>
      <c r="L18" s="33">
        <f t="shared" si="3"/>
        <v>115.8613388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1">
        <v>45029.0</v>
      </c>
      <c r="F19" s="31" t="s">
        <v>38</v>
      </c>
      <c r="G19" s="52">
        <v>90.95690226335142</v>
      </c>
      <c r="H19" s="32"/>
      <c r="I19" s="33">
        <f t="shared" si="1"/>
        <v>0.7549422888</v>
      </c>
      <c r="J19" s="33">
        <f t="shared" si="2"/>
        <v>91.71184455</v>
      </c>
      <c r="K19" s="30"/>
      <c r="L19" s="33">
        <f t="shared" si="3"/>
        <v>91.71184455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1">
        <v>45387.0</v>
      </c>
      <c r="F20" s="31" t="s">
        <v>38</v>
      </c>
      <c r="G20" s="52">
        <v>249.26420967208432</v>
      </c>
      <c r="H20" s="32"/>
      <c r="I20" s="32">
        <f t="shared" si="1"/>
        <v>2.06889294</v>
      </c>
      <c r="J20" s="33">
        <f t="shared" si="2"/>
        <v>251.3331026</v>
      </c>
      <c r="K20" s="34"/>
      <c r="L20" s="32">
        <f t="shared" si="3"/>
        <v>251.3331026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5">
        <v>45722.0</v>
      </c>
      <c r="F21" s="35" t="s">
        <v>34</v>
      </c>
      <c r="G21" s="52">
        <v>2097.4476575601725</v>
      </c>
      <c r="H21" s="32">
        <v>100.0</v>
      </c>
      <c r="I21" s="33">
        <f t="shared" si="1"/>
        <v>17.40881556</v>
      </c>
      <c r="J21" s="33">
        <f t="shared" si="2"/>
        <v>2214.856473</v>
      </c>
      <c r="K21" s="30"/>
      <c r="L21" s="33">
        <f t="shared" si="3"/>
        <v>2214.856473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1">
        <v>45665.0</v>
      </c>
      <c r="F22" s="31" t="s">
        <v>33</v>
      </c>
      <c r="G22" s="52">
        <v>310.1058400116327</v>
      </c>
      <c r="H22" s="32"/>
      <c r="I22" s="33">
        <f t="shared" si="1"/>
        <v>2.573878472</v>
      </c>
      <c r="J22" s="33">
        <f t="shared" si="2"/>
        <v>312.6797185</v>
      </c>
      <c r="K22" s="30"/>
      <c r="L22" s="33">
        <f t="shared" si="3"/>
        <v>312.6797185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1">
        <v>45726.0</v>
      </c>
      <c r="F23" s="31" t="s">
        <v>38</v>
      </c>
      <c r="G23" s="52">
        <v>2145.1234505845514</v>
      </c>
      <c r="H23" s="39">
        <v>10.0</v>
      </c>
      <c r="I23" s="32">
        <f t="shared" si="1"/>
        <v>17.80452464</v>
      </c>
      <c r="J23" s="33">
        <f t="shared" si="2"/>
        <v>2172.927975</v>
      </c>
      <c r="K23" s="34"/>
      <c r="L23" s="32">
        <f t="shared" si="3"/>
        <v>2172.927975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41">
        <v>18.0</v>
      </c>
      <c r="B24" s="34" t="s">
        <v>41</v>
      </c>
      <c r="C24" s="34" t="s">
        <v>91</v>
      </c>
      <c r="D24" s="30" t="s">
        <v>94</v>
      </c>
      <c r="E24" s="35">
        <v>45670.0</v>
      </c>
      <c r="F24" s="35" t="s">
        <v>34</v>
      </c>
      <c r="G24" s="52">
        <v>379.6612164138131</v>
      </c>
      <c r="H24" s="39"/>
      <c r="I24" s="33">
        <f t="shared" si="1"/>
        <v>3.151188096</v>
      </c>
      <c r="J24" s="33">
        <f t="shared" si="2"/>
        <v>382.8124045</v>
      </c>
      <c r="K24" s="30"/>
      <c r="L24" s="33">
        <f t="shared" si="3"/>
        <v>382.8124045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1">
        <v>45726.0</v>
      </c>
      <c r="F25" s="31" t="s">
        <v>39</v>
      </c>
      <c r="G25" s="52">
        <v>710.939647439499</v>
      </c>
      <c r="H25" s="39">
        <v>10.0</v>
      </c>
      <c r="I25" s="33">
        <f t="shared" si="1"/>
        <v>5.900799074</v>
      </c>
      <c r="J25" s="33">
        <f t="shared" si="2"/>
        <v>726.8404465</v>
      </c>
      <c r="K25" s="30"/>
      <c r="L25" s="33">
        <f t="shared" si="3"/>
        <v>726.8404465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>
        <v>45386.0</v>
      </c>
      <c r="F26" s="31" t="s">
        <v>34</v>
      </c>
      <c r="G26" s="52">
        <v>85.20874811261231</v>
      </c>
      <c r="H26" s="39"/>
      <c r="I26" s="32">
        <f t="shared" si="1"/>
        <v>0.7072326093</v>
      </c>
      <c r="J26" s="33">
        <f t="shared" si="2"/>
        <v>85.91598072</v>
      </c>
      <c r="K26" s="34"/>
      <c r="L26" s="32">
        <f t="shared" si="3"/>
        <v>85.91598072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52">
        <v>125.07461171462381</v>
      </c>
      <c r="H27" s="39"/>
      <c r="I27" s="33">
        <f t="shared" si="1"/>
        <v>1.038119277</v>
      </c>
      <c r="J27" s="33">
        <f t="shared" si="2"/>
        <v>126.112731</v>
      </c>
      <c r="K27" s="30"/>
      <c r="L27" s="33">
        <f t="shared" si="3"/>
        <v>126.112731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52">
        <v>147.25388090332598</v>
      </c>
      <c r="H28" s="39"/>
      <c r="I28" s="33">
        <f t="shared" si="1"/>
        <v>1.222207211</v>
      </c>
      <c r="J28" s="33">
        <f t="shared" si="2"/>
        <v>148.4760881</v>
      </c>
      <c r="K28" s="30"/>
      <c r="L28" s="33">
        <f t="shared" si="3"/>
        <v>148.4760881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45422.0</v>
      </c>
      <c r="F29" s="31" t="s">
        <v>39</v>
      </c>
      <c r="G29" s="52">
        <v>1061.5545582988948</v>
      </c>
      <c r="H29" s="39"/>
      <c r="I29" s="33">
        <f t="shared" si="1"/>
        <v>8.810902834</v>
      </c>
      <c r="J29" s="33">
        <f t="shared" si="2"/>
        <v>1070.365461</v>
      </c>
      <c r="K29" s="30"/>
      <c r="L29" s="33">
        <f t="shared" si="3"/>
        <v>1070.365461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45420.0</v>
      </c>
      <c r="F30" s="31" t="s">
        <v>40</v>
      </c>
      <c r="G30" s="52">
        <v>694.2264932386182</v>
      </c>
      <c r="H30" s="39"/>
      <c r="I30" s="33">
        <f t="shared" si="1"/>
        <v>5.762079894</v>
      </c>
      <c r="J30" s="33">
        <f t="shared" si="2"/>
        <v>699.9885731</v>
      </c>
      <c r="K30" s="30"/>
      <c r="L30" s="33">
        <f t="shared" si="3"/>
        <v>699.9885731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45383.0</v>
      </c>
      <c r="F31" s="31" t="s">
        <v>39</v>
      </c>
      <c r="G31" s="52">
        <v>45.60467750653551</v>
      </c>
      <c r="H31" s="39"/>
      <c r="I31" s="33">
        <f t="shared" si="1"/>
        <v>0.3785188233</v>
      </c>
      <c r="J31" s="33">
        <f t="shared" si="2"/>
        <v>45.98319633</v>
      </c>
      <c r="K31" s="30"/>
      <c r="L31" s="33">
        <f t="shared" si="3"/>
        <v>45.98319633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52">
        <v>69.92857238918877</v>
      </c>
      <c r="H32" s="39"/>
      <c r="I32" s="33">
        <f t="shared" si="1"/>
        <v>0.5804071508</v>
      </c>
      <c r="J32" s="33">
        <f t="shared" si="2"/>
        <v>70.50897954</v>
      </c>
      <c r="K32" s="30"/>
      <c r="L32" s="33">
        <f t="shared" si="3"/>
        <v>70.50897954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52">
        <v>235.94915423437627</v>
      </c>
      <c r="H33" s="32"/>
      <c r="I33" s="33">
        <f t="shared" si="1"/>
        <v>1.95837798</v>
      </c>
      <c r="J33" s="33">
        <f t="shared" si="2"/>
        <v>237.9075322</v>
      </c>
      <c r="K33" s="30"/>
      <c r="L33" s="33">
        <f t="shared" si="3"/>
        <v>237.9075322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45427.0</v>
      </c>
      <c r="F34" s="31" t="s">
        <v>39</v>
      </c>
      <c r="G34" s="52">
        <v>71.84791656023366</v>
      </c>
      <c r="H34" s="32"/>
      <c r="I34" s="33">
        <f t="shared" si="1"/>
        <v>0.5963377074</v>
      </c>
      <c r="J34" s="33">
        <f t="shared" si="2"/>
        <v>72.44425427</v>
      </c>
      <c r="K34" s="30"/>
      <c r="L34" s="33">
        <f t="shared" si="3"/>
        <v>72.44425427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45235.0</v>
      </c>
      <c r="F35" s="31"/>
      <c r="G35" s="52">
        <v>872.3746635266847</v>
      </c>
      <c r="H35" s="32"/>
      <c r="I35" s="33">
        <f t="shared" si="1"/>
        <v>7.240709707</v>
      </c>
      <c r="J35" s="33">
        <f t="shared" si="2"/>
        <v>879.6153732</v>
      </c>
      <c r="K35" s="30"/>
      <c r="L35" s="33">
        <f t="shared" si="3"/>
        <v>879.6153732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52">
        <v>17.027757800368164</v>
      </c>
      <c r="H36" s="32"/>
      <c r="I36" s="33">
        <f t="shared" si="1"/>
        <v>0.1413303897</v>
      </c>
      <c r="J36" s="33">
        <f t="shared" si="2"/>
        <v>17.16908819</v>
      </c>
      <c r="K36" s="30"/>
      <c r="L36" s="33">
        <f t="shared" si="3"/>
        <v>17.16908819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41">
        <v>31.0</v>
      </c>
      <c r="B37" s="30" t="s">
        <v>104</v>
      </c>
      <c r="C37" s="30" t="s">
        <v>93</v>
      </c>
      <c r="D37" s="30" t="s">
        <v>94</v>
      </c>
      <c r="E37" s="31">
        <v>45718.0</v>
      </c>
      <c r="F37" s="31"/>
      <c r="G37" s="52">
        <v>250.2438464054655</v>
      </c>
      <c r="H37" s="32">
        <v>20.0</v>
      </c>
      <c r="I37" s="33">
        <f t="shared" si="1"/>
        <v>2.077023925</v>
      </c>
      <c r="J37" s="33">
        <f t="shared" si="2"/>
        <v>272.3208703</v>
      </c>
      <c r="K37" s="30"/>
      <c r="L37" s="33">
        <f t="shared" si="3"/>
        <v>272.3208703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41">
        <v>32.0</v>
      </c>
      <c r="B38" s="34" t="s">
        <v>106</v>
      </c>
      <c r="C38" s="34"/>
      <c r="D38" s="34" t="s">
        <v>94</v>
      </c>
      <c r="E38" s="35">
        <v>45725.0</v>
      </c>
      <c r="F38" s="35"/>
      <c r="G38" s="52">
        <v>196.46758074433586</v>
      </c>
      <c r="H38" s="32">
        <v>15.0</v>
      </c>
      <c r="I38" s="32">
        <f t="shared" si="1"/>
        <v>1.63068092</v>
      </c>
      <c r="J38" s="32">
        <f t="shared" si="2"/>
        <v>213.0982617</v>
      </c>
      <c r="K38" s="34"/>
      <c r="L38" s="32">
        <f t="shared" si="3"/>
        <v>213.0982617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107</v>
      </c>
      <c r="C39" s="34"/>
      <c r="D39" s="34" t="s">
        <v>94</v>
      </c>
      <c r="E39" s="35">
        <v>45726.0</v>
      </c>
      <c r="F39" s="35"/>
      <c r="G39" s="52">
        <v>240.89654330554544</v>
      </c>
      <c r="H39" s="32">
        <v>50.0</v>
      </c>
      <c r="I39" s="32">
        <f t="shared" si="1"/>
        <v>1.999441309</v>
      </c>
      <c r="J39" s="32">
        <f t="shared" si="2"/>
        <v>292.8959846</v>
      </c>
      <c r="K39" s="34"/>
      <c r="L39" s="32">
        <f t="shared" si="3"/>
        <v>292.8959846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108</v>
      </c>
      <c r="C40" s="34"/>
      <c r="D40" s="34" t="s">
        <v>94</v>
      </c>
      <c r="E40" s="35">
        <v>45330.0</v>
      </c>
      <c r="F40" s="35"/>
      <c r="G40" s="52">
        <v>61.47973921516158</v>
      </c>
      <c r="H40" s="32"/>
      <c r="I40" s="32">
        <f t="shared" si="1"/>
        <v>0.5102818355</v>
      </c>
      <c r="J40" s="33">
        <f t="shared" si="2"/>
        <v>61.99002105</v>
      </c>
      <c r="K40" s="34"/>
      <c r="L40" s="32">
        <f t="shared" si="3"/>
        <v>61.99002105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111</v>
      </c>
      <c r="C41" s="34"/>
      <c r="D41" s="34" t="s">
        <v>94</v>
      </c>
      <c r="E41" s="35">
        <v>45333.0</v>
      </c>
      <c r="F41" s="35"/>
      <c r="G41" s="52">
        <v>56.708630749105765</v>
      </c>
      <c r="H41" s="32"/>
      <c r="I41" s="32">
        <f t="shared" si="1"/>
        <v>0.4706816352</v>
      </c>
      <c r="J41" s="33">
        <f t="shared" si="2"/>
        <v>57.17931238</v>
      </c>
      <c r="K41" s="34"/>
      <c r="L41" s="32">
        <f t="shared" si="3"/>
        <v>57.17931238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4" t="s">
        <v>112</v>
      </c>
      <c r="C42" s="34"/>
      <c r="D42" s="34" t="s">
        <v>94</v>
      </c>
      <c r="E42" s="35">
        <v>45245.0</v>
      </c>
      <c r="F42" s="35"/>
      <c r="G42" s="52">
        <v>22.73396023930343</v>
      </c>
      <c r="H42" s="32"/>
      <c r="I42" s="32">
        <f t="shared" si="1"/>
        <v>0.18869187</v>
      </c>
      <c r="J42" s="33">
        <f t="shared" si="2"/>
        <v>22.92265211</v>
      </c>
      <c r="K42" s="34"/>
      <c r="L42" s="32">
        <f t="shared" si="3"/>
        <v>22.92265211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41">
        <v>37.0</v>
      </c>
      <c r="B43" s="34" t="s">
        <v>116</v>
      </c>
      <c r="C43" s="34"/>
      <c r="D43" s="34" t="s">
        <v>94</v>
      </c>
      <c r="E43" s="35">
        <v>45293.0</v>
      </c>
      <c r="F43" s="35"/>
      <c r="G43" s="52">
        <v>11.134403956131196</v>
      </c>
      <c r="H43" s="32"/>
      <c r="I43" s="32">
        <f t="shared" si="1"/>
        <v>0.09241555284</v>
      </c>
      <c r="J43" s="33">
        <f t="shared" si="2"/>
        <v>11.22681951</v>
      </c>
      <c r="K43" s="34"/>
      <c r="L43" s="32">
        <f t="shared" si="3"/>
        <v>11.22681951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118</v>
      </c>
      <c r="C44" s="30"/>
      <c r="D44" s="30" t="s">
        <v>94</v>
      </c>
      <c r="E44" s="31">
        <v>45303.0</v>
      </c>
      <c r="F44" s="31"/>
      <c r="G44" s="52">
        <v>22.268807912262393</v>
      </c>
      <c r="H44" s="32"/>
      <c r="I44" s="33">
        <f t="shared" si="1"/>
        <v>0.1848311057</v>
      </c>
      <c r="J44" s="33">
        <f t="shared" si="2"/>
        <v>22.45363902</v>
      </c>
      <c r="K44" s="30"/>
      <c r="L44" s="33">
        <f t="shared" si="3"/>
        <v>22.45363902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4" t="s">
        <v>120</v>
      </c>
      <c r="C45" s="34"/>
      <c r="D45" s="34" t="s">
        <v>94</v>
      </c>
      <c r="E45" s="35">
        <v>45722.0</v>
      </c>
      <c r="F45" s="35"/>
      <c r="G45" s="32">
        <v>136.6751754374939</v>
      </c>
      <c r="H45" s="32">
        <v>10.0</v>
      </c>
      <c r="I45" s="32">
        <f t="shared" si="1"/>
        <v>1.134403956</v>
      </c>
      <c r="J45" s="32">
        <f t="shared" si="2"/>
        <v>147.8095794</v>
      </c>
      <c r="K45" s="34"/>
      <c r="L45" s="32">
        <f t="shared" si="3"/>
        <v>147.8095794</v>
      </c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41">
        <v>40.0</v>
      </c>
      <c r="B46" s="34" t="s">
        <v>121</v>
      </c>
      <c r="C46" s="34"/>
      <c r="D46" s="34" t="s">
        <v>94</v>
      </c>
      <c r="E46" s="35">
        <v>45324.0</v>
      </c>
      <c r="F46" s="35"/>
      <c r="G46" s="52">
        <v>11.042749138283444</v>
      </c>
      <c r="H46" s="32"/>
      <c r="I46" s="32">
        <f t="shared" si="1"/>
        <v>0.09165481785</v>
      </c>
      <c r="J46" s="32">
        <f t="shared" si="2"/>
        <v>11.13440396</v>
      </c>
      <c r="K46" s="34"/>
      <c r="L46" s="32">
        <f t="shared" si="3"/>
        <v>11.13440396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 ht="30.0" customHeight="1">
      <c r="A47" s="41">
        <v>41.0</v>
      </c>
      <c r="B47" s="34" t="s">
        <v>161</v>
      </c>
      <c r="C47" s="34"/>
      <c r="D47" s="34" t="s">
        <v>94</v>
      </c>
      <c r="E47" s="35">
        <v>45726.0</v>
      </c>
      <c r="F47" s="35"/>
      <c r="G47" s="64">
        <v>93.40573045790492</v>
      </c>
      <c r="H47" s="32">
        <v>10.0</v>
      </c>
      <c r="I47" s="32">
        <f t="shared" si="1"/>
        <v>0.7752675628</v>
      </c>
      <c r="J47" s="32">
        <f t="shared" si="2"/>
        <v>104.180998</v>
      </c>
      <c r="K47" s="12"/>
      <c r="L47" s="32">
        <f t="shared" si="3"/>
        <v>104.180998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30.0" customHeight="1">
      <c r="A48" s="41">
        <v>42.0</v>
      </c>
      <c r="B48" s="13" t="s">
        <v>125</v>
      </c>
      <c r="C48" s="13"/>
      <c r="D48" s="30" t="s">
        <v>94</v>
      </c>
      <c r="E48" s="14">
        <v>45423.0</v>
      </c>
      <c r="F48" s="14"/>
      <c r="G48" s="53">
        <v>108.2600692893832</v>
      </c>
      <c r="H48" s="32"/>
      <c r="I48" s="33">
        <f t="shared" si="1"/>
        <v>0.8985585751</v>
      </c>
      <c r="J48" s="33">
        <f t="shared" si="2"/>
        <v>109.1586279</v>
      </c>
      <c r="K48" s="13"/>
      <c r="L48" s="33">
        <f t="shared" si="3"/>
        <v>109.1586279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30.0" customHeight="1">
      <c r="A49" s="41">
        <v>43.0</v>
      </c>
      <c r="B49" s="54" t="s">
        <v>126</v>
      </c>
      <c r="C49" s="13"/>
      <c r="D49" s="30" t="s">
        <v>94</v>
      </c>
      <c r="E49" s="14">
        <v>45722.0</v>
      </c>
      <c r="F49" s="14"/>
      <c r="G49" s="53">
        <v>290.0665676995329</v>
      </c>
      <c r="H49" s="32">
        <v>10.0</v>
      </c>
      <c r="I49" s="33">
        <f t="shared" si="1"/>
        <v>2.407552512</v>
      </c>
      <c r="J49" s="33">
        <f t="shared" si="2"/>
        <v>302.4741202</v>
      </c>
      <c r="K49" s="13"/>
      <c r="L49" s="33">
        <f t="shared" si="3"/>
        <v>302.4741202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41">
        <v>44.0</v>
      </c>
      <c r="B50" s="13" t="s">
        <v>127</v>
      </c>
      <c r="C50" s="13"/>
      <c r="D50" s="30" t="s">
        <v>94</v>
      </c>
      <c r="E50" s="14">
        <v>45420.0</v>
      </c>
      <c r="F50" s="14"/>
      <c r="G50" s="53">
        <v>43.448271048070055</v>
      </c>
      <c r="H50" s="32"/>
      <c r="I50" s="33">
        <f t="shared" si="1"/>
        <v>0.3606206497</v>
      </c>
      <c r="J50" s="33">
        <f t="shared" si="2"/>
        <v>43.8088917</v>
      </c>
      <c r="K50" s="13"/>
      <c r="L50" s="33">
        <f t="shared" si="3"/>
        <v>43.8088917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41">
        <v>45.0</v>
      </c>
      <c r="B51" s="13" t="s">
        <v>128</v>
      </c>
      <c r="C51" s="13"/>
      <c r="D51" s="30" t="s">
        <v>94</v>
      </c>
      <c r="E51" s="14">
        <v>45731.0</v>
      </c>
      <c r="F51" s="14"/>
      <c r="G51" s="53">
        <v>125.63242629921044</v>
      </c>
      <c r="H51" s="32">
        <v>10.0</v>
      </c>
      <c r="I51" s="33">
        <f t="shared" si="1"/>
        <v>1.042749138</v>
      </c>
      <c r="J51" s="33">
        <f t="shared" si="2"/>
        <v>136.6751754</v>
      </c>
      <c r="K51" s="13"/>
      <c r="L51" s="33">
        <f t="shared" si="3"/>
        <v>136.6751754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13" t="s">
        <v>129</v>
      </c>
      <c r="C52" s="13"/>
      <c r="D52" s="30" t="s">
        <v>94</v>
      </c>
      <c r="E52" s="14">
        <v>45725.0</v>
      </c>
      <c r="F52" s="14" t="s">
        <v>101</v>
      </c>
      <c r="G52" s="53">
        <v>1152.4355506562497</v>
      </c>
      <c r="H52" s="32">
        <v>10.0</v>
      </c>
      <c r="I52" s="33">
        <f t="shared" si="1"/>
        <v>9.56521507</v>
      </c>
      <c r="J52" s="33">
        <f t="shared" si="2"/>
        <v>1172.000766</v>
      </c>
      <c r="K52" s="13"/>
      <c r="L52" s="33">
        <f t="shared" si="3"/>
        <v>1172.000766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13" t="s">
        <v>132</v>
      </c>
      <c r="C53" s="13"/>
      <c r="D53" s="30" t="s">
        <v>94</v>
      </c>
      <c r="E53" s="14">
        <v>45420.0</v>
      </c>
      <c r="F53" s="14"/>
      <c r="G53" s="53">
        <v>16.2031350860365</v>
      </c>
      <c r="H53" s="32"/>
      <c r="I53" s="33">
        <f t="shared" si="1"/>
        <v>0.1344860212</v>
      </c>
      <c r="J53" s="33">
        <f t="shared" si="2"/>
        <v>16.33762111</v>
      </c>
      <c r="K53" s="13"/>
      <c r="L53" s="33">
        <f t="shared" si="3"/>
        <v>16.33762111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133</v>
      </c>
      <c r="C54" s="13"/>
      <c r="D54" s="30" t="s">
        <v>94</v>
      </c>
      <c r="E54" s="14">
        <v>45722.0</v>
      </c>
      <c r="F54" s="14"/>
      <c r="G54" s="59">
        <v>515.6754548069716</v>
      </c>
      <c r="H54" s="32">
        <v>30.0</v>
      </c>
      <c r="I54" s="33">
        <f t="shared" si="1"/>
        <v>4.280106275</v>
      </c>
      <c r="J54" s="33">
        <f t="shared" si="2"/>
        <v>549.9555611</v>
      </c>
      <c r="K54" s="13"/>
      <c r="L54" s="33">
        <f t="shared" si="3"/>
        <v>549.9555611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30" t="s">
        <v>134</v>
      </c>
      <c r="C55" s="13"/>
      <c r="D55" s="30" t="s">
        <v>94</v>
      </c>
      <c r="E55" s="14">
        <v>45390.0</v>
      </c>
      <c r="F55" s="14" t="s">
        <v>131</v>
      </c>
      <c r="G55" s="53">
        <v>21.63398344133704</v>
      </c>
      <c r="H55" s="32"/>
      <c r="I55" s="33">
        <f t="shared" si="1"/>
        <v>0.1795620626</v>
      </c>
      <c r="J55" s="33">
        <f t="shared" si="2"/>
        <v>21.8135455</v>
      </c>
      <c r="K55" s="13"/>
      <c r="L55" s="33">
        <f t="shared" si="3"/>
        <v>21.8135455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13" t="s">
        <v>135</v>
      </c>
      <c r="C56" s="13"/>
      <c r="D56" s="30" t="s">
        <v>94</v>
      </c>
      <c r="E56" s="14">
        <v>45726.0</v>
      </c>
      <c r="F56" s="14" t="s">
        <v>131</v>
      </c>
      <c r="G56" s="53">
        <v>186.35994608058</v>
      </c>
      <c r="H56" s="32">
        <v>20.0</v>
      </c>
      <c r="I56" s="33">
        <f t="shared" si="1"/>
        <v>1.546787552</v>
      </c>
      <c r="J56" s="33">
        <f t="shared" si="2"/>
        <v>207.9067336</v>
      </c>
      <c r="K56" s="13"/>
      <c r="L56" s="33">
        <f t="shared" si="3"/>
        <v>207.9067336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136</v>
      </c>
      <c r="C57" s="13"/>
      <c r="D57" s="30" t="s">
        <v>94</v>
      </c>
      <c r="E57" s="14">
        <v>45390.0</v>
      </c>
      <c r="F57" s="14" t="s">
        <v>131</v>
      </c>
      <c r="G57" s="53">
        <v>21.63398344133704</v>
      </c>
      <c r="H57" s="32"/>
      <c r="I57" s="33">
        <f t="shared" si="1"/>
        <v>0.1795620626</v>
      </c>
      <c r="J57" s="33">
        <f t="shared" si="2"/>
        <v>21.8135455</v>
      </c>
      <c r="K57" s="13"/>
      <c r="L57" s="33">
        <f t="shared" si="3"/>
        <v>21.8135455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138</v>
      </c>
      <c r="C58" s="13"/>
      <c r="D58" s="30" t="s">
        <v>94</v>
      </c>
      <c r="E58" s="14">
        <v>45420.0</v>
      </c>
      <c r="F58" s="14"/>
      <c r="G58" s="53">
        <v>10.772286730735965</v>
      </c>
      <c r="H58" s="32"/>
      <c r="I58" s="33">
        <f t="shared" si="1"/>
        <v>0.08940997987</v>
      </c>
      <c r="J58" s="33">
        <f t="shared" si="2"/>
        <v>10.86169671</v>
      </c>
      <c r="K58" s="13"/>
      <c r="L58" s="33">
        <f t="shared" si="3"/>
        <v>10.86169671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142</v>
      </c>
      <c r="C59" s="13"/>
      <c r="D59" s="30" t="s">
        <v>94</v>
      </c>
      <c r="E59" s="14">
        <v>45731.0</v>
      </c>
      <c r="F59" s="14"/>
      <c r="G59" s="53">
        <v>56.095327021144584</v>
      </c>
      <c r="H59" s="32">
        <v>10.0</v>
      </c>
      <c r="I59" s="33">
        <f t="shared" si="1"/>
        <v>0.4655912143</v>
      </c>
      <c r="J59" s="33">
        <f t="shared" si="2"/>
        <v>66.56091824</v>
      </c>
      <c r="K59" s="13"/>
      <c r="L59" s="33">
        <f t="shared" si="3"/>
        <v>66.56091824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153</v>
      </c>
      <c r="C60" s="13" t="s">
        <v>93</v>
      </c>
      <c r="D60" s="30" t="s">
        <v>94</v>
      </c>
      <c r="E60" s="14">
        <v>45726.0</v>
      </c>
      <c r="F60" s="14"/>
      <c r="G60" s="53">
        <v>100.415</v>
      </c>
      <c r="H60" s="32">
        <v>100.0</v>
      </c>
      <c r="I60" s="33">
        <f t="shared" si="1"/>
        <v>0.8334445</v>
      </c>
      <c r="J60" s="33">
        <f t="shared" si="2"/>
        <v>201.2484445</v>
      </c>
      <c r="K60" s="13"/>
      <c r="L60" s="33">
        <f t="shared" si="3"/>
        <v>201.2484445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154</v>
      </c>
      <c r="C61" s="13"/>
      <c r="D61" s="30" t="s">
        <v>94</v>
      </c>
      <c r="E61" s="14">
        <v>45695.0</v>
      </c>
      <c r="F61" s="14"/>
      <c r="G61" s="32">
        <v>150.83</v>
      </c>
      <c r="H61" s="32"/>
      <c r="I61" s="33">
        <f t="shared" si="1"/>
        <v>1.251889</v>
      </c>
      <c r="J61" s="33">
        <f t="shared" si="2"/>
        <v>152.081889</v>
      </c>
      <c r="K61" s="13"/>
      <c r="L61" s="33">
        <f t="shared" si="3"/>
        <v>152.081889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3" t="s">
        <v>155</v>
      </c>
      <c r="C62" s="13"/>
      <c r="D62" s="30" t="s">
        <v>94</v>
      </c>
      <c r="E62" s="14">
        <v>45726.0</v>
      </c>
      <c r="F62" s="14"/>
      <c r="G62" s="32">
        <v>80.415</v>
      </c>
      <c r="H62" s="32">
        <v>30.0</v>
      </c>
      <c r="I62" s="33">
        <f t="shared" si="1"/>
        <v>0.6674445</v>
      </c>
      <c r="J62" s="33">
        <f t="shared" si="2"/>
        <v>111.0824445</v>
      </c>
      <c r="K62" s="13"/>
      <c r="L62" s="33">
        <f t="shared" si="3"/>
        <v>111.0824445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41">
        <v>57.0</v>
      </c>
      <c r="B63" s="13" t="s">
        <v>162</v>
      </c>
      <c r="C63" s="13"/>
      <c r="D63" s="30" t="s">
        <v>94</v>
      </c>
      <c r="E63" s="14">
        <v>45727.0</v>
      </c>
      <c r="F63" s="14"/>
      <c r="G63" s="32">
        <v>10.083</v>
      </c>
      <c r="H63" s="32">
        <v>20.0</v>
      </c>
      <c r="I63" s="33">
        <f t="shared" si="1"/>
        <v>0.0836889</v>
      </c>
      <c r="J63" s="33">
        <f t="shared" si="2"/>
        <v>30.1666889</v>
      </c>
      <c r="K63" s="13"/>
      <c r="L63" s="33">
        <f t="shared" si="3"/>
        <v>30.1666889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157</v>
      </c>
      <c r="C64" s="13"/>
      <c r="D64" s="30" t="s">
        <v>94</v>
      </c>
      <c r="E64" s="14">
        <v>45702.0</v>
      </c>
      <c r="F64" s="14"/>
      <c r="G64" s="32">
        <v>10.0415</v>
      </c>
      <c r="H64" s="32"/>
      <c r="I64" s="16">
        <f t="shared" si="1"/>
        <v>0.08334445</v>
      </c>
      <c r="J64" s="33">
        <f t="shared" si="2"/>
        <v>10.12484445</v>
      </c>
      <c r="K64" s="13"/>
      <c r="L64" s="33">
        <f t="shared" si="3"/>
        <v>10.12484445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2" t="s">
        <v>159</v>
      </c>
      <c r="C65" s="12"/>
      <c r="D65" s="34" t="s">
        <v>94</v>
      </c>
      <c r="E65" s="22">
        <v>45722.0</v>
      </c>
      <c r="F65" s="22"/>
      <c r="G65" s="32">
        <v>50.0</v>
      </c>
      <c r="H65" s="32">
        <v>50.0</v>
      </c>
      <c r="I65" s="15">
        <f t="shared" si="1"/>
        <v>0.415</v>
      </c>
      <c r="J65" s="32">
        <f t="shared" si="2"/>
        <v>100.415</v>
      </c>
      <c r="K65" s="12"/>
      <c r="L65" s="32">
        <f t="shared" si="3"/>
        <v>100.415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30.0" customHeight="1">
      <c r="A66" s="41">
        <v>60.0</v>
      </c>
      <c r="B66" s="13" t="s">
        <v>160</v>
      </c>
      <c r="C66" s="13"/>
      <c r="D66" s="30" t="s">
        <v>94</v>
      </c>
      <c r="E66" s="14">
        <v>324.0</v>
      </c>
      <c r="F66" s="14"/>
      <c r="G66" s="32">
        <v>5.0</v>
      </c>
      <c r="H66" s="32">
        <v>5.0</v>
      </c>
      <c r="I66" s="16">
        <f t="shared" si="1"/>
        <v>0.0415</v>
      </c>
      <c r="J66" s="33">
        <f t="shared" si="2"/>
        <v>10.0415</v>
      </c>
      <c r="K66" s="13"/>
      <c r="L66" s="33">
        <f t="shared" si="3"/>
        <v>10.0415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0" customHeight="1">
      <c r="A67" s="17"/>
      <c r="B67" s="13"/>
      <c r="C67" s="13"/>
      <c r="D67" s="13"/>
      <c r="E67" s="13"/>
      <c r="F67" s="13"/>
      <c r="G67" s="55">
        <f t="shared" ref="G67:L67" si="4">SUM(G7:G66)</f>
        <v>50433.38353</v>
      </c>
      <c r="H67" s="55">
        <f t="shared" si="4"/>
        <v>743.76</v>
      </c>
      <c r="I67" s="55">
        <f t="shared" si="4"/>
        <v>418.5970833</v>
      </c>
      <c r="J67" s="55">
        <f t="shared" si="4"/>
        <v>51595.74061</v>
      </c>
      <c r="K67" s="55">
        <f t="shared" si="4"/>
        <v>0</v>
      </c>
      <c r="L67" s="55">
        <f t="shared" si="4"/>
        <v>51595.74061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21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67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163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45422.0</v>
      </c>
      <c r="F7" s="31"/>
      <c r="G7" s="52">
        <v>4865.182492326774</v>
      </c>
      <c r="H7" s="32"/>
      <c r="I7" s="33">
        <f t="shared" ref="I7:I68" si="1">G7*0.83%</f>
        <v>40.38101469</v>
      </c>
      <c r="J7" s="33">
        <f t="shared" ref="J7:J68" si="2">G7+H7+I7</f>
        <v>4905.563507</v>
      </c>
      <c r="K7" s="30"/>
      <c r="L7" s="33">
        <f t="shared" ref="L7:L68" si="3">J7-K7</f>
        <v>4905.563507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45758.0</v>
      </c>
      <c r="F8" s="31"/>
      <c r="G8" s="52">
        <v>8274.02270354785</v>
      </c>
      <c r="H8" s="32">
        <v>30.0</v>
      </c>
      <c r="I8" s="33">
        <f t="shared" si="1"/>
        <v>68.67438844</v>
      </c>
      <c r="J8" s="33">
        <f t="shared" si="2"/>
        <v>8372.697092</v>
      </c>
      <c r="K8" s="30"/>
      <c r="L8" s="33">
        <f t="shared" si="3"/>
        <v>8372.697092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45757.0</v>
      </c>
      <c r="F9" s="31"/>
      <c r="G9" s="52">
        <v>8280.022806485133</v>
      </c>
      <c r="H9" s="32">
        <v>50.0</v>
      </c>
      <c r="I9" s="33">
        <f t="shared" si="1"/>
        <v>68.72418929</v>
      </c>
      <c r="J9" s="33">
        <f t="shared" si="2"/>
        <v>8398.746996</v>
      </c>
      <c r="K9" s="30"/>
      <c r="L9" s="33">
        <f t="shared" si="3"/>
        <v>8398.746996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52">
        <v>209.88561424474975</v>
      </c>
      <c r="H10" s="32"/>
      <c r="I10" s="32">
        <f t="shared" si="1"/>
        <v>1.742050598</v>
      </c>
      <c r="J10" s="33">
        <f t="shared" si="2"/>
        <v>211.6276648</v>
      </c>
      <c r="K10" s="51"/>
      <c r="L10" s="32">
        <f t="shared" si="3"/>
        <v>211.6276648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45699.0</v>
      </c>
      <c r="F11" s="35"/>
      <c r="G11" s="52">
        <v>609.4729024902566</v>
      </c>
      <c r="H11" s="32"/>
      <c r="I11" s="32">
        <f t="shared" si="1"/>
        <v>5.058625091</v>
      </c>
      <c r="J11" s="33">
        <f t="shared" si="2"/>
        <v>614.5315276</v>
      </c>
      <c r="K11" s="34"/>
      <c r="L11" s="32">
        <f t="shared" si="3"/>
        <v>614.5315276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45752.0</v>
      </c>
      <c r="F12" s="35"/>
      <c r="G12" s="52">
        <v>441.6186487951594</v>
      </c>
      <c r="H12" s="32">
        <v>30.0</v>
      </c>
      <c r="I12" s="32">
        <f t="shared" si="1"/>
        <v>3.665434785</v>
      </c>
      <c r="J12" s="33">
        <f t="shared" si="2"/>
        <v>475.2840836</v>
      </c>
      <c r="K12" s="34"/>
      <c r="L12" s="32">
        <f t="shared" si="3"/>
        <v>475.2840836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45757.0</v>
      </c>
      <c r="F13" s="35"/>
      <c r="G13" s="52">
        <v>8108.372023154713</v>
      </c>
      <c r="H13" s="32">
        <v>47.08</v>
      </c>
      <c r="I13" s="32">
        <f t="shared" si="1"/>
        <v>67.29948779</v>
      </c>
      <c r="J13" s="33">
        <f t="shared" si="2"/>
        <v>8222.751511</v>
      </c>
      <c r="K13" s="34"/>
      <c r="L13" s="32">
        <f t="shared" si="3"/>
        <v>8222.751511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41">
        <v>8.0</v>
      </c>
      <c r="B14" s="34" t="s">
        <v>48</v>
      </c>
      <c r="C14" s="34" t="s">
        <v>91</v>
      </c>
      <c r="D14" s="34" t="s">
        <v>92</v>
      </c>
      <c r="E14" s="35">
        <v>45752.0</v>
      </c>
      <c r="F14" s="35"/>
      <c r="G14" s="52">
        <v>2047.5842103082668</v>
      </c>
      <c r="H14" s="32">
        <v>50.0</v>
      </c>
      <c r="I14" s="32">
        <f t="shared" si="1"/>
        <v>16.99494895</v>
      </c>
      <c r="J14" s="33">
        <f t="shared" si="2"/>
        <v>2114.579159</v>
      </c>
      <c r="K14" s="51"/>
      <c r="L14" s="32">
        <f t="shared" si="3"/>
        <v>2114.579159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41">
        <v>9.0</v>
      </c>
      <c r="B15" s="30" t="s">
        <v>146</v>
      </c>
      <c r="C15" s="30" t="s">
        <v>91</v>
      </c>
      <c r="D15" s="30" t="s">
        <v>94</v>
      </c>
      <c r="E15" s="31">
        <v>45723.0</v>
      </c>
      <c r="F15" s="31"/>
      <c r="G15" s="52">
        <v>3907.399932267623</v>
      </c>
      <c r="H15" s="32">
        <v>20.0</v>
      </c>
      <c r="I15" s="33">
        <f t="shared" si="1"/>
        <v>32.43141944</v>
      </c>
      <c r="J15" s="33">
        <f t="shared" si="2"/>
        <v>3959.831352</v>
      </c>
      <c r="K15" s="30"/>
      <c r="L15" s="33">
        <f t="shared" si="3"/>
        <v>3959.831352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41">
        <v>10.0</v>
      </c>
      <c r="B16" s="30" t="s">
        <v>49</v>
      </c>
      <c r="C16" s="30" t="s">
        <v>91</v>
      </c>
      <c r="D16" s="30" t="s">
        <v>94</v>
      </c>
      <c r="E16" s="31">
        <v>45754.0</v>
      </c>
      <c r="F16" s="31" t="s">
        <v>38</v>
      </c>
      <c r="G16" s="52">
        <v>202.25655757066025</v>
      </c>
      <c r="H16" s="32">
        <v>10.0</v>
      </c>
      <c r="I16" s="33">
        <f t="shared" si="1"/>
        <v>1.678729428</v>
      </c>
      <c r="J16" s="33">
        <f t="shared" si="2"/>
        <v>213.935287</v>
      </c>
      <c r="K16" s="30"/>
      <c r="L16" s="33">
        <f t="shared" si="3"/>
        <v>213.935287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1">
        <v>45756.0</v>
      </c>
      <c r="F17" s="31" t="s">
        <v>39</v>
      </c>
      <c r="G17" s="52">
        <v>434.6715993941043</v>
      </c>
      <c r="H17" s="32">
        <v>20.0</v>
      </c>
      <c r="I17" s="33">
        <f t="shared" si="1"/>
        <v>3.607774275</v>
      </c>
      <c r="J17" s="33">
        <f t="shared" si="2"/>
        <v>458.2793737</v>
      </c>
      <c r="K17" s="30"/>
      <c r="L17" s="33">
        <f t="shared" si="3"/>
        <v>458.2793737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1">
        <v>45294.0</v>
      </c>
      <c r="F18" s="31" t="s">
        <v>34</v>
      </c>
      <c r="G18" s="52">
        <v>115.86133880259705</v>
      </c>
      <c r="H18" s="32"/>
      <c r="I18" s="33">
        <f t="shared" si="1"/>
        <v>0.9616491121</v>
      </c>
      <c r="J18" s="33">
        <f t="shared" si="2"/>
        <v>116.8229879</v>
      </c>
      <c r="K18" s="30"/>
      <c r="L18" s="33">
        <f t="shared" si="3"/>
        <v>116.8229879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1">
        <v>45029.0</v>
      </c>
      <c r="F19" s="31" t="s">
        <v>38</v>
      </c>
      <c r="G19" s="52">
        <v>91.71184455213724</v>
      </c>
      <c r="H19" s="32"/>
      <c r="I19" s="33">
        <f t="shared" si="1"/>
        <v>0.7612083098</v>
      </c>
      <c r="J19" s="33">
        <f t="shared" si="2"/>
        <v>92.47305286</v>
      </c>
      <c r="K19" s="30"/>
      <c r="L19" s="33">
        <f t="shared" si="3"/>
        <v>92.47305286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1">
        <v>45387.0</v>
      </c>
      <c r="F20" s="31" t="s">
        <v>38</v>
      </c>
      <c r="G20" s="52">
        <v>251.3331026123626</v>
      </c>
      <c r="H20" s="32"/>
      <c r="I20" s="32">
        <f t="shared" si="1"/>
        <v>2.086064752</v>
      </c>
      <c r="J20" s="33">
        <f t="shared" si="2"/>
        <v>253.4191674</v>
      </c>
      <c r="K20" s="34"/>
      <c r="L20" s="32">
        <f t="shared" si="3"/>
        <v>253.4191674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5">
        <v>45722.0</v>
      </c>
      <c r="F21" s="35" t="s">
        <v>34</v>
      </c>
      <c r="G21" s="52">
        <v>2214.8564731179217</v>
      </c>
      <c r="H21" s="32">
        <v>100.0</v>
      </c>
      <c r="I21" s="33">
        <f t="shared" si="1"/>
        <v>18.38330873</v>
      </c>
      <c r="J21" s="33">
        <f t="shared" si="2"/>
        <v>2333.239782</v>
      </c>
      <c r="K21" s="30"/>
      <c r="L21" s="33">
        <f t="shared" si="3"/>
        <v>2333.239782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1">
        <v>45665.0</v>
      </c>
      <c r="F22" s="31" t="s">
        <v>33</v>
      </c>
      <c r="G22" s="52">
        <v>312.6797184837293</v>
      </c>
      <c r="H22" s="32"/>
      <c r="I22" s="33">
        <f t="shared" si="1"/>
        <v>2.595241663</v>
      </c>
      <c r="J22" s="33">
        <f t="shared" si="2"/>
        <v>315.2749601</v>
      </c>
      <c r="K22" s="30"/>
      <c r="L22" s="33">
        <f t="shared" si="3"/>
        <v>315.2749601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1">
        <v>45754.0</v>
      </c>
      <c r="F23" s="31" t="s">
        <v>38</v>
      </c>
      <c r="G23" s="52">
        <v>2172.9279752244033</v>
      </c>
      <c r="H23" s="39">
        <v>10.0</v>
      </c>
      <c r="I23" s="32">
        <f t="shared" si="1"/>
        <v>18.03530219</v>
      </c>
      <c r="J23" s="33">
        <f t="shared" si="2"/>
        <v>2200.963277</v>
      </c>
      <c r="K23" s="34">
        <v>2200.96</v>
      </c>
      <c r="L23" s="32">
        <f t="shared" si="3"/>
        <v>0.003277418766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41">
        <v>18.0</v>
      </c>
      <c r="B24" s="34" t="s">
        <v>41</v>
      </c>
      <c r="C24" s="34" t="s">
        <v>91</v>
      </c>
      <c r="D24" s="30" t="s">
        <v>94</v>
      </c>
      <c r="E24" s="35">
        <v>45670.0</v>
      </c>
      <c r="F24" s="35" t="s">
        <v>34</v>
      </c>
      <c r="G24" s="52">
        <v>382.81240451004777</v>
      </c>
      <c r="H24" s="39"/>
      <c r="I24" s="33">
        <f t="shared" si="1"/>
        <v>3.177342957</v>
      </c>
      <c r="J24" s="33">
        <f t="shared" si="2"/>
        <v>385.9897475</v>
      </c>
      <c r="K24" s="30"/>
      <c r="L24" s="33">
        <f t="shared" si="3"/>
        <v>385.9897475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1">
        <v>45752.0</v>
      </c>
      <c r="F25" s="31" t="s">
        <v>39</v>
      </c>
      <c r="G25" s="52">
        <v>726.8404465132469</v>
      </c>
      <c r="H25" s="39">
        <v>20.0</v>
      </c>
      <c r="I25" s="33">
        <f t="shared" si="1"/>
        <v>6.032775706</v>
      </c>
      <c r="J25" s="33">
        <f t="shared" si="2"/>
        <v>752.8732222</v>
      </c>
      <c r="K25" s="30"/>
      <c r="L25" s="33">
        <f t="shared" si="3"/>
        <v>752.8732222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>
        <v>45386.0</v>
      </c>
      <c r="F26" s="31" t="s">
        <v>34</v>
      </c>
      <c r="G26" s="52">
        <v>85.915980721947</v>
      </c>
      <c r="H26" s="39"/>
      <c r="I26" s="32">
        <f t="shared" si="1"/>
        <v>0.71310264</v>
      </c>
      <c r="J26" s="33">
        <f t="shared" si="2"/>
        <v>86.62908336</v>
      </c>
      <c r="K26" s="34"/>
      <c r="L26" s="32">
        <f t="shared" si="3"/>
        <v>86.62908336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52">
        <v>126.11273099185519</v>
      </c>
      <c r="H27" s="39"/>
      <c r="I27" s="33">
        <f t="shared" si="1"/>
        <v>1.046735667</v>
      </c>
      <c r="J27" s="33">
        <f t="shared" si="2"/>
        <v>127.1594667</v>
      </c>
      <c r="K27" s="30"/>
      <c r="L27" s="33">
        <f t="shared" si="3"/>
        <v>127.1594667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52">
        <v>148.4760881148236</v>
      </c>
      <c r="H28" s="39"/>
      <c r="I28" s="33">
        <f t="shared" si="1"/>
        <v>1.232351531</v>
      </c>
      <c r="J28" s="33">
        <f t="shared" si="2"/>
        <v>149.7084396</v>
      </c>
      <c r="K28" s="30"/>
      <c r="L28" s="33">
        <f t="shared" si="3"/>
        <v>149.7084396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45422.0</v>
      </c>
      <c r="F29" s="31" t="s">
        <v>39</v>
      </c>
      <c r="G29" s="52">
        <v>1070.3654611327756</v>
      </c>
      <c r="H29" s="39"/>
      <c r="I29" s="33">
        <f t="shared" si="1"/>
        <v>8.884033327</v>
      </c>
      <c r="J29" s="33">
        <f t="shared" si="2"/>
        <v>1079.249494</v>
      </c>
      <c r="K29" s="30"/>
      <c r="L29" s="33">
        <f t="shared" si="3"/>
        <v>1079.249494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45420.0</v>
      </c>
      <c r="F30" s="31" t="s">
        <v>40</v>
      </c>
      <c r="G30" s="52">
        <v>699.9885731324988</v>
      </c>
      <c r="H30" s="39"/>
      <c r="I30" s="33">
        <f t="shared" si="1"/>
        <v>5.809905157</v>
      </c>
      <c r="J30" s="33">
        <f t="shared" si="2"/>
        <v>705.7984783</v>
      </c>
      <c r="K30" s="30"/>
      <c r="L30" s="33">
        <f t="shared" si="3"/>
        <v>705.7984783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45383.0</v>
      </c>
      <c r="F31" s="31" t="s">
        <v>39</v>
      </c>
      <c r="G31" s="52">
        <v>45.98319632983976</v>
      </c>
      <c r="H31" s="39"/>
      <c r="I31" s="33">
        <f t="shared" si="1"/>
        <v>0.3816605295</v>
      </c>
      <c r="J31" s="33">
        <f t="shared" si="2"/>
        <v>46.36485686</v>
      </c>
      <c r="K31" s="30"/>
      <c r="L31" s="33">
        <f t="shared" si="3"/>
        <v>46.36485686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52">
        <v>70.50897954001904</v>
      </c>
      <c r="H32" s="39"/>
      <c r="I32" s="33">
        <f t="shared" si="1"/>
        <v>0.5852245302</v>
      </c>
      <c r="J32" s="33">
        <f t="shared" si="2"/>
        <v>71.09420407</v>
      </c>
      <c r="K32" s="30"/>
      <c r="L32" s="33">
        <f t="shared" si="3"/>
        <v>71.09420407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52">
        <v>237.90753221452158</v>
      </c>
      <c r="H33" s="32"/>
      <c r="I33" s="33">
        <f t="shared" si="1"/>
        <v>1.974632517</v>
      </c>
      <c r="J33" s="33">
        <f t="shared" si="2"/>
        <v>239.8821647</v>
      </c>
      <c r="K33" s="30"/>
      <c r="L33" s="33">
        <f t="shared" si="3"/>
        <v>239.8821647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45427.0</v>
      </c>
      <c r="F34" s="31" t="s">
        <v>39</v>
      </c>
      <c r="G34" s="52">
        <v>72.44425426768359</v>
      </c>
      <c r="H34" s="32"/>
      <c r="I34" s="33">
        <f t="shared" si="1"/>
        <v>0.6012873104</v>
      </c>
      <c r="J34" s="33">
        <f t="shared" si="2"/>
        <v>73.04554158</v>
      </c>
      <c r="K34" s="30"/>
      <c r="L34" s="33">
        <f t="shared" si="3"/>
        <v>73.04554158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45235.0</v>
      </c>
      <c r="F35" s="31"/>
      <c r="G35" s="52">
        <v>879.6153732339561</v>
      </c>
      <c r="H35" s="32"/>
      <c r="I35" s="33">
        <f t="shared" si="1"/>
        <v>7.300807598</v>
      </c>
      <c r="J35" s="33">
        <f t="shared" si="2"/>
        <v>886.9161808</v>
      </c>
      <c r="K35" s="30"/>
      <c r="L35" s="33">
        <f t="shared" si="3"/>
        <v>886.9161808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52">
        <v>17.16908819011122</v>
      </c>
      <c r="H36" s="32"/>
      <c r="I36" s="33">
        <f t="shared" si="1"/>
        <v>0.142503432</v>
      </c>
      <c r="J36" s="33">
        <f t="shared" si="2"/>
        <v>17.31159162</v>
      </c>
      <c r="K36" s="30"/>
      <c r="L36" s="33">
        <f t="shared" si="3"/>
        <v>17.31159162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41">
        <v>31.0</v>
      </c>
      <c r="B37" s="30" t="s">
        <v>104</v>
      </c>
      <c r="C37" s="30" t="s">
        <v>93</v>
      </c>
      <c r="D37" s="30" t="s">
        <v>94</v>
      </c>
      <c r="E37" s="31">
        <v>45752.0</v>
      </c>
      <c r="F37" s="31"/>
      <c r="G37" s="52">
        <v>272.32087033063084</v>
      </c>
      <c r="H37" s="32">
        <v>20.0</v>
      </c>
      <c r="I37" s="33">
        <f t="shared" si="1"/>
        <v>2.260263224</v>
      </c>
      <c r="J37" s="33">
        <f t="shared" si="2"/>
        <v>294.5811336</v>
      </c>
      <c r="K37" s="30"/>
      <c r="L37" s="33">
        <f t="shared" si="3"/>
        <v>294.5811336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41">
        <v>32.0</v>
      </c>
      <c r="B38" s="34" t="s">
        <v>106</v>
      </c>
      <c r="C38" s="34"/>
      <c r="D38" s="34" t="s">
        <v>94</v>
      </c>
      <c r="E38" s="35">
        <v>45752.0</v>
      </c>
      <c r="F38" s="35"/>
      <c r="G38" s="52">
        <v>213.09826166451384</v>
      </c>
      <c r="H38" s="32">
        <v>15.0</v>
      </c>
      <c r="I38" s="32">
        <f t="shared" si="1"/>
        <v>1.768715572</v>
      </c>
      <c r="J38" s="32">
        <f t="shared" si="2"/>
        <v>229.8669772</v>
      </c>
      <c r="K38" s="34"/>
      <c r="L38" s="32">
        <f t="shared" si="3"/>
        <v>229.8669772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107</v>
      </c>
      <c r="C39" s="34"/>
      <c r="D39" s="34" t="s">
        <v>94</v>
      </c>
      <c r="E39" s="35">
        <v>45750.0</v>
      </c>
      <c r="F39" s="35"/>
      <c r="G39" s="52">
        <v>292.89598461498144</v>
      </c>
      <c r="H39" s="32">
        <v>100.0</v>
      </c>
      <c r="I39" s="32">
        <f t="shared" si="1"/>
        <v>2.431036672</v>
      </c>
      <c r="J39" s="32">
        <f t="shared" si="2"/>
        <v>395.3270213</v>
      </c>
      <c r="K39" s="34"/>
      <c r="L39" s="32">
        <f t="shared" si="3"/>
        <v>395.3270213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108</v>
      </c>
      <c r="C40" s="34"/>
      <c r="D40" s="34" t="s">
        <v>94</v>
      </c>
      <c r="E40" s="35">
        <v>45330.0</v>
      </c>
      <c r="F40" s="35"/>
      <c r="G40" s="52">
        <v>61.99002105064742</v>
      </c>
      <c r="H40" s="32"/>
      <c r="I40" s="32">
        <f t="shared" si="1"/>
        <v>0.5145171747</v>
      </c>
      <c r="J40" s="33">
        <f t="shared" si="2"/>
        <v>62.50453823</v>
      </c>
      <c r="K40" s="34"/>
      <c r="L40" s="32">
        <f t="shared" si="3"/>
        <v>62.50453823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111</v>
      </c>
      <c r="C41" s="34"/>
      <c r="D41" s="34" t="s">
        <v>94</v>
      </c>
      <c r="E41" s="35">
        <v>45333.0</v>
      </c>
      <c r="F41" s="35"/>
      <c r="G41" s="52">
        <v>57.179312384323346</v>
      </c>
      <c r="H41" s="32"/>
      <c r="I41" s="32">
        <f t="shared" si="1"/>
        <v>0.4745882928</v>
      </c>
      <c r="J41" s="33">
        <f t="shared" si="2"/>
        <v>57.65390068</v>
      </c>
      <c r="K41" s="34"/>
      <c r="L41" s="32">
        <f t="shared" si="3"/>
        <v>57.65390068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4" t="s">
        <v>112</v>
      </c>
      <c r="C42" s="34"/>
      <c r="D42" s="34" t="s">
        <v>94</v>
      </c>
      <c r="E42" s="35">
        <v>45245.0</v>
      </c>
      <c r="F42" s="35"/>
      <c r="G42" s="52">
        <v>22.922652109289647</v>
      </c>
      <c r="H42" s="32"/>
      <c r="I42" s="32">
        <f t="shared" si="1"/>
        <v>0.1902580125</v>
      </c>
      <c r="J42" s="33">
        <f t="shared" si="2"/>
        <v>23.11291012</v>
      </c>
      <c r="K42" s="34"/>
      <c r="L42" s="32">
        <f t="shared" si="3"/>
        <v>23.11291012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41">
        <v>37.0</v>
      </c>
      <c r="B43" s="34" t="s">
        <v>116</v>
      </c>
      <c r="C43" s="34"/>
      <c r="D43" s="34" t="s">
        <v>94</v>
      </c>
      <c r="E43" s="35">
        <v>45293.0</v>
      </c>
      <c r="F43" s="35"/>
      <c r="G43" s="52">
        <v>11.226819508967084</v>
      </c>
      <c r="H43" s="32"/>
      <c r="I43" s="32">
        <f t="shared" si="1"/>
        <v>0.09318260192</v>
      </c>
      <c r="J43" s="33">
        <f t="shared" si="2"/>
        <v>11.32000211</v>
      </c>
      <c r="K43" s="34"/>
      <c r="L43" s="32">
        <f t="shared" si="3"/>
        <v>11.32000211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118</v>
      </c>
      <c r="C44" s="30"/>
      <c r="D44" s="30" t="s">
        <v>94</v>
      </c>
      <c r="E44" s="31">
        <v>45303.0</v>
      </c>
      <c r="F44" s="31"/>
      <c r="G44" s="52">
        <v>22.45363901793417</v>
      </c>
      <c r="H44" s="32"/>
      <c r="I44" s="33">
        <f t="shared" si="1"/>
        <v>0.1863652038</v>
      </c>
      <c r="J44" s="33">
        <f t="shared" si="2"/>
        <v>22.64000422</v>
      </c>
      <c r="K44" s="30"/>
      <c r="L44" s="33">
        <f t="shared" si="3"/>
        <v>22.64000422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4" t="s">
        <v>120</v>
      </c>
      <c r="C45" s="34"/>
      <c r="D45" s="34" t="s">
        <v>94</v>
      </c>
      <c r="E45" s="35">
        <v>45752.0</v>
      </c>
      <c r="F45" s="35"/>
      <c r="G45" s="32">
        <v>147.80957939362509</v>
      </c>
      <c r="H45" s="32">
        <v>10.0</v>
      </c>
      <c r="I45" s="32">
        <f t="shared" si="1"/>
        <v>1.226819509</v>
      </c>
      <c r="J45" s="32">
        <f t="shared" si="2"/>
        <v>159.0363989</v>
      </c>
      <c r="K45" s="34"/>
      <c r="L45" s="32">
        <f t="shared" si="3"/>
        <v>159.0363989</v>
      </c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41">
        <v>40.0</v>
      </c>
      <c r="B46" s="30" t="s">
        <v>121</v>
      </c>
      <c r="C46" s="30"/>
      <c r="D46" s="30" t="s">
        <v>94</v>
      </c>
      <c r="E46" s="31">
        <v>45324.0</v>
      </c>
      <c r="F46" s="31"/>
      <c r="G46" s="52">
        <v>11.134403956131196</v>
      </c>
      <c r="H46" s="32"/>
      <c r="I46" s="33">
        <f t="shared" si="1"/>
        <v>0.09241555284</v>
      </c>
      <c r="J46" s="33">
        <f t="shared" si="2"/>
        <v>11.22681951</v>
      </c>
      <c r="K46" s="30"/>
      <c r="L46" s="33">
        <f t="shared" si="3"/>
        <v>11.22681951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41">
        <v>41.0</v>
      </c>
      <c r="B47" s="34" t="s">
        <v>161</v>
      </c>
      <c r="C47" s="34"/>
      <c r="D47" s="34" t="s">
        <v>94</v>
      </c>
      <c r="E47" s="35">
        <v>45726.0</v>
      </c>
      <c r="F47" s="35"/>
      <c r="G47" s="64">
        <v>104.18099802070553</v>
      </c>
      <c r="H47" s="32"/>
      <c r="I47" s="32">
        <f t="shared" si="1"/>
        <v>0.8647022836</v>
      </c>
      <c r="J47" s="32">
        <f t="shared" si="2"/>
        <v>105.0457003</v>
      </c>
      <c r="K47" s="12"/>
      <c r="L47" s="32">
        <f t="shared" si="3"/>
        <v>105.0457003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30.0" customHeight="1">
      <c r="A48" s="41">
        <v>42.0</v>
      </c>
      <c r="B48" s="13" t="s">
        <v>125</v>
      </c>
      <c r="C48" s="13"/>
      <c r="D48" s="30" t="s">
        <v>94</v>
      </c>
      <c r="E48" s="14">
        <v>45423.0</v>
      </c>
      <c r="F48" s="14"/>
      <c r="G48" s="53">
        <v>109.15862786448508</v>
      </c>
      <c r="H48" s="32"/>
      <c r="I48" s="33">
        <f t="shared" si="1"/>
        <v>0.9060166113</v>
      </c>
      <c r="J48" s="33">
        <f t="shared" si="2"/>
        <v>110.0646445</v>
      </c>
      <c r="K48" s="13"/>
      <c r="L48" s="33">
        <f t="shared" si="3"/>
        <v>110.0646445</v>
      </c>
      <c r="M48" s="19"/>
      <c r="N48" s="19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30.0" customHeight="1">
      <c r="A49" s="41">
        <v>43.0</v>
      </c>
      <c r="B49" s="54" t="s">
        <v>126</v>
      </c>
      <c r="C49" s="13"/>
      <c r="D49" s="30" t="s">
        <v>94</v>
      </c>
      <c r="E49" s="14">
        <v>45758.0</v>
      </c>
      <c r="F49" s="14"/>
      <c r="G49" s="53">
        <v>302.4741202114391</v>
      </c>
      <c r="H49" s="32">
        <v>10.0</v>
      </c>
      <c r="I49" s="33">
        <f t="shared" si="1"/>
        <v>2.510535198</v>
      </c>
      <c r="J49" s="33">
        <f t="shared" si="2"/>
        <v>314.9846554</v>
      </c>
      <c r="K49" s="13"/>
      <c r="L49" s="33">
        <f t="shared" si="3"/>
        <v>314.9846554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41">
        <v>44.0</v>
      </c>
      <c r="B50" s="13" t="s">
        <v>127</v>
      </c>
      <c r="C50" s="13"/>
      <c r="D50" s="30" t="s">
        <v>94</v>
      </c>
      <c r="E50" s="14">
        <v>45420.0</v>
      </c>
      <c r="F50" s="14"/>
      <c r="G50" s="53">
        <v>43.808891697769035</v>
      </c>
      <c r="H50" s="32"/>
      <c r="I50" s="33">
        <f t="shared" si="1"/>
        <v>0.3636138011</v>
      </c>
      <c r="J50" s="33">
        <f t="shared" si="2"/>
        <v>44.1725055</v>
      </c>
      <c r="K50" s="13"/>
      <c r="L50" s="33">
        <f t="shared" si="3"/>
        <v>44.1725055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41">
        <v>45.0</v>
      </c>
      <c r="B51" s="13" t="s">
        <v>128</v>
      </c>
      <c r="C51" s="13"/>
      <c r="D51" s="30" t="s">
        <v>94</v>
      </c>
      <c r="E51" s="14">
        <v>45757.0</v>
      </c>
      <c r="F51" s="14"/>
      <c r="G51" s="53">
        <v>136.6751754374939</v>
      </c>
      <c r="H51" s="32">
        <v>10.0</v>
      </c>
      <c r="I51" s="33">
        <f t="shared" si="1"/>
        <v>1.134403956</v>
      </c>
      <c r="J51" s="33">
        <f t="shared" si="2"/>
        <v>147.8095794</v>
      </c>
      <c r="K51" s="13"/>
      <c r="L51" s="33">
        <f t="shared" si="3"/>
        <v>147.8095794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13" t="s">
        <v>129</v>
      </c>
      <c r="C52" s="13"/>
      <c r="D52" s="30" t="s">
        <v>94</v>
      </c>
      <c r="E52" s="14">
        <v>45757.0</v>
      </c>
      <c r="F52" s="14" t="s">
        <v>101</v>
      </c>
      <c r="G52" s="53">
        <v>1172.0007657266965</v>
      </c>
      <c r="H52" s="32">
        <v>10.0</v>
      </c>
      <c r="I52" s="33">
        <f t="shared" si="1"/>
        <v>9.727606356</v>
      </c>
      <c r="J52" s="33">
        <f t="shared" si="2"/>
        <v>1191.728372</v>
      </c>
      <c r="K52" s="13"/>
      <c r="L52" s="33">
        <f t="shared" si="3"/>
        <v>1191.728372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13" t="s">
        <v>132</v>
      </c>
      <c r="C53" s="13"/>
      <c r="D53" s="30" t="s">
        <v>94</v>
      </c>
      <c r="E53" s="14">
        <v>45420.0</v>
      </c>
      <c r="F53" s="14"/>
      <c r="G53" s="53">
        <v>16.3376211072506</v>
      </c>
      <c r="H53" s="32"/>
      <c r="I53" s="33">
        <f t="shared" si="1"/>
        <v>0.1356022552</v>
      </c>
      <c r="J53" s="33">
        <f t="shared" si="2"/>
        <v>16.47322336</v>
      </c>
      <c r="K53" s="13"/>
      <c r="L53" s="33">
        <f t="shared" si="3"/>
        <v>16.47322336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133</v>
      </c>
      <c r="C54" s="13"/>
      <c r="D54" s="30" t="s">
        <v>94</v>
      </c>
      <c r="E54" s="14">
        <v>45750.0</v>
      </c>
      <c r="F54" s="14"/>
      <c r="G54" s="59">
        <v>549.9555610818695</v>
      </c>
      <c r="H54" s="32">
        <v>30.0</v>
      </c>
      <c r="I54" s="33">
        <f t="shared" si="1"/>
        <v>4.564631157</v>
      </c>
      <c r="J54" s="33">
        <f t="shared" si="2"/>
        <v>584.5201922</v>
      </c>
      <c r="K54" s="13"/>
      <c r="L54" s="33">
        <f t="shared" si="3"/>
        <v>584.5201922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30" t="s">
        <v>134</v>
      </c>
      <c r="C55" s="13"/>
      <c r="D55" s="30" t="s">
        <v>94</v>
      </c>
      <c r="E55" s="14">
        <v>45390.0</v>
      </c>
      <c r="F55" s="14" t="s">
        <v>131</v>
      </c>
      <c r="G55" s="53">
        <v>21.813545503900137</v>
      </c>
      <c r="H55" s="32"/>
      <c r="I55" s="33">
        <f t="shared" si="1"/>
        <v>0.1810524277</v>
      </c>
      <c r="J55" s="33">
        <f t="shared" si="2"/>
        <v>21.99459793</v>
      </c>
      <c r="K55" s="13"/>
      <c r="L55" s="33">
        <f t="shared" si="3"/>
        <v>21.99459793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13" t="s">
        <v>135</v>
      </c>
      <c r="C56" s="13"/>
      <c r="D56" s="30" t="s">
        <v>94</v>
      </c>
      <c r="E56" s="14">
        <v>45757.0</v>
      </c>
      <c r="F56" s="14" t="s">
        <v>131</v>
      </c>
      <c r="G56" s="53">
        <v>207.90673363304882</v>
      </c>
      <c r="H56" s="32">
        <v>20.0</v>
      </c>
      <c r="I56" s="33">
        <f t="shared" si="1"/>
        <v>1.725625889</v>
      </c>
      <c r="J56" s="33">
        <f t="shared" si="2"/>
        <v>229.6323595</v>
      </c>
      <c r="K56" s="13"/>
      <c r="L56" s="33">
        <f t="shared" si="3"/>
        <v>229.6323595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136</v>
      </c>
      <c r="C57" s="13"/>
      <c r="D57" s="30" t="s">
        <v>94</v>
      </c>
      <c r="E57" s="14">
        <v>45390.0</v>
      </c>
      <c r="F57" s="14" t="s">
        <v>131</v>
      </c>
      <c r="G57" s="53">
        <v>21.813545503900137</v>
      </c>
      <c r="H57" s="32"/>
      <c r="I57" s="33">
        <f t="shared" si="1"/>
        <v>0.1810524277</v>
      </c>
      <c r="J57" s="33">
        <f t="shared" si="2"/>
        <v>21.99459793</v>
      </c>
      <c r="K57" s="13"/>
      <c r="L57" s="33">
        <f t="shared" si="3"/>
        <v>21.99459793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138</v>
      </c>
      <c r="C58" s="13"/>
      <c r="D58" s="30" t="s">
        <v>94</v>
      </c>
      <c r="E58" s="14">
        <v>45420.0</v>
      </c>
      <c r="F58" s="14"/>
      <c r="G58" s="53">
        <v>10.861696710601073</v>
      </c>
      <c r="H58" s="32"/>
      <c r="I58" s="33">
        <f t="shared" si="1"/>
        <v>0.0901520827</v>
      </c>
      <c r="J58" s="33">
        <f t="shared" si="2"/>
        <v>10.95184879</v>
      </c>
      <c r="K58" s="13"/>
      <c r="L58" s="33">
        <f t="shared" si="3"/>
        <v>10.95184879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142</v>
      </c>
      <c r="C59" s="13"/>
      <c r="D59" s="30" t="s">
        <v>94</v>
      </c>
      <c r="E59" s="14">
        <v>45731.0</v>
      </c>
      <c r="F59" s="14"/>
      <c r="G59" s="53">
        <v>66.56091823542009</v>
      </c>
      <c r="H59" s="32"/>
      <c r="I59" s="33">
        <f t="shared" si="1"/>
        <v>0.5524556214</v>
      </c>
      <c r="J59" s="33">
        <f t="shared" si="2"/>
        <v>67.11337386</v>
      </c>
      <c r="K59" s="13"/>
      <c r="L59" s="33">
        <f t="shared" si="3"/>
        <v>67.11337386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153</v>
      </c>
      <c r="C60" s="13" t="s">
        <v>93</v>
      </c>
      <c r="D60" s="30" t="s">
        <v>94</v>
      </c>
      <c r="E60" s="14">
        <v>45750.0</v>
      </c>
      <c r="F60" s="14"/>
      <c r="G60" s="53">
        <v>201.24844450000003</v>
      </c>
      <c r="H60" s="32">
        <v>100.0</v>
      </c>
      <c r="I60" s="33">
        <f t="shared" si="1"/>
        <v>1.670362089</v>
      </c>
      <c r="J60" s="33">
        <f t="shared" si="2"/>
        <v>302.9188066</v>
      </c>
      <c r="K60" s="13"/>
      <c r="L60" s="33">
        <f t="shared" si="3"/>
        <v>302.9188066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154</v>
      </c>
      <c r="C61" s="13"/>
      <c r="D61" s="30" t="s">
        <v>94</v>
      </c>
      <c r="E61" s="14">
        <v>45752.0</v>
      </c>
      <c r="F61" s="14"/>
      <c r="G61" s="32">
        <v>152.08188900000002</v>
      </c>
      <c r="H61" s="32">
        <v>50.0</v>
      </c>
      <c r="I61" s="33">
        <f t="shared" si="1"/>
        <v>1.262279679</v>
      </c>
      <c r="J61" s="33">
        <f t="shared" si="2"/>
        <v>203.3441687</v>
      </c>
      <c r="K61" s="13"/>
      <c r="L61" s="33">
        <f t="shared" si="3"/>
        <v>203.3441687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3" t="s">
        <v>155</v>
      </c>
      <c r="C62" s="13"/>
      <c r="D62" s="30" t="s">
        <v>94</v>
      </c>
      <c r="E62" s="14">
        <v>45726.0</v>
      </c>
      <c r="F62" s="14"/>
      <c r="G62" s="32">
        <v>111.08244450000001</v>
      </c>
      <c r="H62" s="32"/>
      <c r="I62" s="33">
        <f t="shared" si="1"/>
        <v>0.9219842894</v>
      </c>
      <c r="J62" s="33">
        <f t="shared" si="2"/>
        <v>112.0044288</v>
      </c>
      <c r="K62" s="13"/>
      <c r="L62" s="33">
        <f t="shared" si="3"/>
        <v>112.0044288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41">
        <v>57.0</v>
      </c>
      <c r="B63" s="13" t="s">
        <v>162</v>
      </c>
      <c r="C63" s="13"/>
      <c r="D63" s="30" t="s">
        <v>94</v>
      </c>
      <c r="E63" s="14">
        <v>45727.0</v>
      </c>
      <c r="F63" s="14"/>
      <c r="G63" s="32">
        <v>30.166688899999997</v>
      </c>
      <c r="H63" s="32"/>
      <c r="I63" s="33">
        <f t="shared" si="1"/>
        <v>0.2503835179</v>
      </c>
      <c r="J63" s="33">
        <f t="shared" si="2"/>
        <v>30.41707242</v>
      </c>
      <c r="K63" s="13"/>
      <c r="L63" s="33">
        <f t="shared" si="3"/>
        <v>30.41707242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157</v>
      </c>
      <c r="C64" s="13"/>
      <c r="D64" s="30" t="s">
        <v>94</v>
      </c>
      <c r="E64" s="14">
        <v>45752.0</v>
      </c>
      <c r="F64" s="14"/>
      <c r="G64" s="32">
        <v>10.12484445</v>
      </c>
      <c r="H64" s="32">
        <v>5.0</v>
      </c>
      <c r="I64" s="16">
        <f t="shared" si="1"/>
        <v>0.08403620894</v>
      </c>
      <c r="J64" s="33">
        <f t="shared" si="2"/>
        <v>15.20888066</v>
      </c>
      <c r="K64" s="13"/>
      <c r="L64" s="33">
        <f t="shared" si="3"/>
        <v>15.20888066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2" t="s">
        <v>159</v>
      </c>
      <c r="C65" s="12"/>
      <c r="D65" s="34" t="s">
        <v>94</v>
      </c>
      <c r="E65" s="22">
        <v>45750.0</v>
      </c>
      <c r="F65" s="22"/>
      <c r="G65" s="32">
        <v>100.415</v>
      </c>
      <c r="H65" s="32">
        <v>50.0</v>
      </c>
      <c r="I65" s="15">
        <f t="shared" si="1"/>
        <v>0.8334445</v>
      </c>
      <c r="J65" s="32">
        <f t="shared" si="2"/>
        <v>151.2484445</v>
      </c>
      <c r="K65" s="12"/>
      <c r="L65" s="32">
        <f t="shared" si="3"/>
        <v>151.2484445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30.0" customHeight="1">
      <c r="A66" s="41">
        <v>60.0</v>
      </c>
      <c r="B66" s="13" t="s">
        <v>160</v>
      </c>
      <c r="C66" s="13"/>
      <c r="D66" s="30" t="s">
        <v>94</v>
      </c>
      <c r="E66" s="14">
        <v>324.0</v>
      </c>
      <c r="F66" s="14"/>
      <c r="G66" s="32">
        <v>10.0415</v>
      </c>
      <c r="H66" s="32"/>
      <c r="I66" s="16">
        <f t="shared" si="1"/>
        <v>0.08334445</v>
      </c>
      <c r="J66" s="33">
        <f t="shared" si="2"/>
        <v>10.12484445</v>
      </c>
      <c r="K66" s="13"/>
      <c r="L66" s="33">
        <f t="shared" si="3"/>
        <v>10.12484445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30.0" customHeight="1">
      <c r="A67" s="41">
        <v>61.0</v>
      </c>
      <c r="B67" s="13" t="s">
        <v>164</v>
      </c>
      <c r="C67" s="13"/>
      <c r="D67" s="30" t="s">
        <v>94</v>
      </c>
      <c r="E67" s="14">
        <v>45752.0</v>
      </c>
      <c r="F67" s="14"/>
      <c r="G67" s="32"/>
      <c r="H67" s="32">
        <v>20.0</v>
      </c>
      <c r="I67" s="16">
        <f t="shared" si="1"/>
        <v>0</v>
      </c>
      <c r="J67" s="33">
        <f t="shared" si="2"/>
        <v>20</v>
      </c>
      <c r="K67" s="13"/>
      <c r="L67" s="33">
        <f t="shared" si="3"/>
        <v>20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30.0" customHeight="1">
      <c r="A68" s="41">
        <v>62.0</v>
      </c>
      <c r="B68" s="13" t="s">
        <v>165</v>
      </c>
      <c r="C68" s="13"/>
      <c r="D68" s="30" t="s">
        <v>94</v>
      </c>
      <c r="E68" s="14">
        <v>45752.0</v>
      </c>
      <c r="F68" s="14"/>
      <c r="G68" s="32"/>
      <c r="H68" s="32">
        <v>30.0</v>
      </c>
      <c r="I68" s="16">
        <f t="shared" si="1"/>
        <v>0</v>
      </c>
      <c r="J68" s="33">
        <f t="shared" si="2"/>
        <v>30</v>
      </c>
      <c r="K68" s="13"/>
      <c r="L68" s="33">
        <f t="shared" si="3"/>
        <v>30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0" customHeight="1">
      <c r="A69" s="17"/>
      <c r="B69" s="13"/>
      <c r="C69" s="13"/>
      <c r="D69" s="13"/>
      <c r="E69" s="13"/>
      <c r="F69" s="13"/>
      <c r="G69" s="55">
        <f t="shared" ref="G69:L69" si="4">SUM(G7:G68)</f>
        <v>51595.74061</v>
      </c>
      <c r="H69" s="55">
        <f t="shared" si="4"/>
        <v>867.08</v>
      </c>
      <c r="I69" s="55">
        <f t="shared" si="4"/>
        <v>428.244647</v>
      </c>
      <c r="J69" s="55">
        <f t="shared" si="4"/>
        <v>52891.06526</v>
      </c>
      <c r="K69" s="55">
        <f t="shared" si="4"/>
        <v>2200.96</v>
      </c>
      <c r="L69" s="55">
        <f t="shared" si="4"/>
        <v>50690.10526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6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2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69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166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45786.0</v>
      </c>
      <c r="F7" s="31"/>
      <c r="G7" s="52">
        <v>4905.563507013087</v>
      </c>
      <c r="H7" s="32">
        <v>50.0</v>
      </c>
      <c r="I7" s="33">
        <f t="shared" ref="I7:I68" si="1">G7*0.83%</f>
        <v>40.71617711</v>
      </c>
      <c r="J7" s="33">
        <f t="shared" ref="J7:J68" si="2">G7+H7+I7</f>
        <v>4996.279684</v>
      </c>
      <c r="K7" s="30"/>
      <c r="L7" s="33">
        <f t="shared" ref="L7:L68" si="3">J7-K7</f>
        <v>4996.279684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45786.0</v>
      </c>
      <c r="F8" s="31"/>
      <c r="G8" s="52">
        <v>8372.697091987297</v>
      </c>
      <c r="H8" s="32">
        <v>30.0</v>
      </c>
      <c r="I8" s="33">
        <f t="shared" si="1"/>
        <v>69.49338586</v>
      </c>
      <c r="J8" s="33">
        <f t="shared" si="2"/>
        <v>8472.190478</v>
      </c>
      <c r="K8" s="30"/>
      <c r="L8" s="33">
        <f t="shared" si="3"/>
        <v>8472.190478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45786.0</v>
      </c>
      <c r="F9" s="31"/>
      <c r="G9" s="52">
        <v>8398.74699577896</v>
      </c>
      <c r="H9" s="32">
        <v>50.0</v>
      </c>
      <c r="I9" s="33">
        <f t="shared" si="1"/>
        <v>69.70960006</v>
      </c>
      <c r="J9" s="33">
        <f t="shared" si="2"/>
        <v>8518.456596</v>
      </c>
      <c r="K9" s="30"/>
      <c r="L9" s="33">
        <f t="shared" si="3"/>
        <v>8518.456596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52">
        <v>211.62766484298118</v>
      </c>
      <c r="H10" s="32"/>
      <c r="I10" s="32">
        <f t="shared" si="1"/>
        <v>1.756509618</v>
      </c>
      <c r="J10" s="33">
        <f t="shared" si="2"/>
        <v>213.3841745</v>
      </c>
      <c r="K10" s="51"/>
      <c r="L10" s="32">
        <f t="shared" si="3"/>
        <v>213.3841745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45780.0</v>
      </c>
      <c r="F11" s="35"/>
      <c r="G11" s="52">
        <v>614.5315275809257</v>
      </c>
      <c r="H11" s="32">
        <v>20.0</v>
      </c>
      <c r="I11" s="32">
        <f t="shared" si="1"/>
        <v>5.100611679</v>
      </c>
      <c r="J11" s="33">
        <f t="shared" si="2"/>
        <v>639.6321393</v>
      </c>
      <c r="K11" s="34"/>
      <c r="L11" s="32">
        <f t="shared" si="3"/>
        <v>639.6321393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45785.0</v>
      </c>
      <c r="F12" s="35"/>
      <c r="G12" s="52">
        <v>475.28408358015923</v>
      </c>
      <c r="H12" s="32">
        <v>100.0</v>
      </c>
      <c r="I12" s="32">
        <f t="shared" si="1"/>
        <v>3.944857894</v>
      </c>
      <c r="J12" s="33">
        <f t="shared" si="2"/>
        <v>579.2289415</v>
      </c>
      <c r="K12" s="34"/>
      <c r="L12" s="32">
        <f t="shared" si="3"/>
        <v>579.2289415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45787.0</v>
      </c>
      <c r="F13" s="35"/>
      <c r="G13" s="52">
        <v>8222.751510946897</v>
      </c>
      <c r="H13" s="32">
        <v>50.4</v>
      </c>
      <c r="I13" s="32">
        <f t="shared" si="1"/>
        <v>68.24883754</v>
      </c>
      <c r="J13" s="33">
        <f t="shared" si="2"/>
        <v>8341.400348</v>
      </c>
      <c r="K13" s="34"/>
      <c r="L13" s="32">
        <f t="shared" si="3"/>
        <v>8341.400348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41">
        <v>8.0</v>
      </c>
      <c r="B14" s="34" t="s">
        <v>48</v>
      </c>
      <c r="C14" s="34" t="s">
        <v>91</v>
      </c>
      <c r="D14" s="34" t="s">
        <v>92</v>
      </c>
      <c r="E14" s="35">
        <v>45782.0</v>
      </c>
      <c r="F14" s="35"/>
      <c r="G14" s="52">
        <v>2114.5791592538253</v>
      </c>
      <c r="H14" s="32">
        <v>98.88</v>
      </c>
      <c r="I14" s="32">
        <f t="shared" si="1"/>
        <v>17.55100702</v>
      </c>
      <c r="J14" s="33">
        <f t="shared" si="2"/>
        <v>2231.010166</v>
      </c>
      <c r="K14" s="51"/>
      <c r="L14" s="32">
        <f t="shared" si="3"/>
        <v>2231.010166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41">
        <v>9.0</v>
      </c>
      <c r="B15" s="30" t="s">
        <v>146</v>
      </c>
      <c r="C15" s="30" t="s">
        <v>91</v>
      </c>
      <c r="D15" s="30" t="s">
        <v>94</v>
      </c>
      <c r="E15" s="31">
        <v>45782.0</v>
      </c>
      <c r="F15" s="31"/>
      <c r="G15" s="52">
        <v>3959.8313517054444</v>
      </c>
      <c r="H15" s="32">
        <v>20.0</v>
      </c>
      <c r="I15" s="33">
        <f t="shared" si="1"/>
        <v>32.86660022</v>
      </c>
      <c r="J15" s="33">
        <f t="shared" si="2"/>
        <v>4012.697952</v>
      </c>
      <c r="K15" s="30"/>
      <c r="L15" s="33">
        <f t="shared" si="3"/>
        <v>4012.697952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41">
        <v>10.0</v>
      </c>
      <c r="B16" s="30" t="s">
        <v>49</v>
      </c>
      <c r="C16" s="30" t="s">
        <v>91</v>
      </c>
      <c r="D16" s="30" t="s">
        <v>94</v>
      </c>
      <c r="E16" s="31">
        <v>45782.0</v>
      </c>
      <c r="F16" s="31" t="s">
        <v>38</v>
      </c>
      <c r="G16" s="52">
        <v>213.93528699849674</v>
      </c>
      <c r="H16" s="32">
        <v>10.0</v>
      </c>
      <c r="I16" s="33">
        <f t="shared" si="1"/>
        <v>1.775662882</v>
      </c>
      <c r="J16" s="33">
        <f t="shared" si="2"/>
        <v>225.7109499</v>
      </c>
      <c r="K16" s="30"/>
      <c r="L16" s="33">
        <f t="shared" si="3"/>
        <v>225.7109499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1">
        <v>45787.0</v>
      </c>
      <c r="F17" s="31" t="s">
        <v>39</v>
      </c>
      <c r="G17" s="52">
        <v>458.27937366907537</v>
      </c>
      <c r="H17" s="32">
        <v>20.0</v>
      </c>
      <c r="I17" s="33">
        <f t="shared" si="1"/>
        <v>3.803718801</v>
      </c>
      <c r="J17" s="33">
        <f t="shared" si="2"/>
        <v>482.0830925</v>
      </c>
      <c r="K17" s="30"/>
      <c r="L17" s="33">
        <f t="shared" si="3"/>
        <v>482.0830925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1">
        <v>45294.0</v>
      </c>
      <c r="F18" s="31" t="s">
        <v>34</v>
      </c>
      <c r="G18" s="52">
        <v>116.8229879146586</v>
      </c>
      <c r="H18" s="32"/>
      <c r="I18" s="33">
        <f t="shared" si="1"/>
        <v>0.9696307997</v>
      </c>
      <c r="J18" s="33">
        <f t="shared" si="2"/>
        <v>117.7926187</v>
      </c>
      <c r="K18" s="30"/>
      <c r="L18" s="33">
        <f t="shared" si="3"/>
        <v>117.7926187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1">
        <v>45029.0</v>
      </c>
      <c r="F19" s="31" t="s">
        <v>38</v>
      </c>
      <c r="G19" s="52">
        <v>92.47305286191998</v>
      </c>
      <c r="H19" s="32"/>
      <c r="I19" s="33">
        <f t="shared" si="1"/>
        <v>0.7675263388</v>
      </c>
      <c r="J19" s="33">
        <f t="shared" si="2"/>
        <v>93.2405792</v>
      </c>
      <c r="K19" s="30"/>
      <c r="L19" s="33">
        <f t="shared" si="3"/>
        <v>93.2405792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1">
        <v>45786.0</v>
      </c>
      <c r="F20" s="31" t="s">
        <v>38</v>
      </c>
      <c r="G20" s="52">
        <v>253.41916736404522</v>
      </c>
      <c r="H20" s="32">
        <v>20.0</v>
      </c>
      <c r="I20" s="32">
        <f t="shared" si="1"/>
        <v>2.103379089</v>
      </c>
      <c r="J20" s="33">
        <f t="shared" si="2"/>
        <v>275.5225465</v>
      </c>
      <c r="K20" s="34"/>
      <c r="L20" s="32">
        <f t="shared" si="3"/>
        <v>275.5225465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5">
        <v>45800.0</v>
      </c>
      <c r="F21" s="35" t="s">
        <v>34</v>
      </c>
      <c r="G21" s="52">
        <v>2333.2397818448003</v>
      </c>
      <c r="H21" s="32">
        <v>100.0</v>
      </c>
      <c r="I21" s="33">
        <f t="shared" si="1"/>
        <v>19.36589019</v>
      </c>
      <c r="J21" s="33">
        <f t="shared" si="2"/>
        <v>2452.605672</v>
      </c>
      <c r="K21" s="30"/>
      <c r="L21" s="33">
        <f t="shared" si="3"/>
        <v>2452.605672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1">
        <v>45665.0</v>
      </c>
      <c r="F22" s="31" t="s">
        <v>33</v>
      </c>
      <c r="G22" s="52">
        <v>315.27496014714427</v>
      </c>
      <c r="H22" s="32"/>
      <c r="I22" s="33">
        <f t="shared" si="1"/>
        <v>2.616782169</v>
      </c>
      <c r="J22" s="33">
        <f t="shared" si="2"/>
        <v>317.8917423</v>
      </c>
      <c r="K22" s="30"/>
      <c r="L22" s="33">
        <f t="shared" si="3"/>
        <v>317.8917423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1">
        <v>45782.0</v>
      </c>
      <c r="F23" s="31" t="s">
        <v>38</v>
      </c>
      <c r="G23" s="52">
        <v>10.0</v>
      </c>
      <c r="H23" s="39">
        <v>10.0</v>
      </c>
      <c r="I23" s="32">
        <f t="shared" si="1"/>
        <v>0.083</v>
      </c>
      <c r="J23" s="33">
        <f t="shared" si="2"/>
        <v>20.083</v>
      </c>
      <c r="K23" s="34"/>
      <c r="L23" s="32">
        <f t="shared" si="3"/>
        <v>20.083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41">
        <v>18.0</v>
      </c>
      <c r="B24" s="34" t="s">
        <v>41</v>
      </c>
      <c r="C24" s="34" t="s">
        <v>91</v>
      </c>
      <c r="D24" s="30" t="s">
        <v>94</v>
      </c>
      <c r="E24" s="35">
        <v>45670.0</v>
      </c>
      <c r="F24" s="35" t="s">
        <v>34</v>
      </c>
      <c r="G24" s="52">
        <v>385.98974746748115</v>
      </c>
      <c r="H24" s="39"/>
      <c r="I24" s="33">
        <f t="shared" si="1"/>
        <v>3.203714904</v>
      </c>
      <c r="J24" s="33">
        <f t="shared" si="2"/>
        <v>389.1934624</v>
      </c>
      <c r="K24" s="30"/>
      <c r="L24" s="33">
        <f t="shared" si="3"/>
        <v>389.1934624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1">
        <v>45788.0</v>
      </c>
      <c r="F25" s="31" t="s">
        <v>39</v>
      </c>
      <c r="G25" s="52">
        <v>752.8732222193069</v>
      </c>
      <c r="H25" s="39">
        <v>20.0</v>
      </c>
      <c r="I25" s="33">
        <f t="shared" si="1"/>
        <v>6.248847744</v>
      </c>
      <c r="J25" s="33">
        <f t="shared" si="2"/>
        <v>779.12207</v>
      </c>
      <c r="K25" s="30"/>
      <c r="L25" s="33">
        <f t="shared" si="3"/>
        <v>779.12207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>
        <v>45386.0</v>
      </c>
      <c r="F26" s="31" t="s">
        <v>34</v>
      </c>
      <c r="G26" s="52">
        <v>86.62908336193915</v>
      </c>
      <c r="H26" s="39"/>
      <c r="I26" s="32">
        <f t="shared" si="1"/>
        <v>0.7190213919</v>
      </c>
      <c r="J26" s="33">
        <f t="shared" si="2"/>
        <v>87.34810475</v>
      </c>
      <c r="K26" s="34"/>
      <c r="L26" s="32">
        <f t="shared" si="3"/>
        <v>87.34810475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52">
        <v>127.15946665908758</v>
      </c>
      <c r="H27" s="39"/>
      <c r="I27" s="33">
        <f t="shared" si="1"/>
        <v>1.055423573</v>
      </c>
      <c r="J27" s="33">
        <f t="shared" si="2"/>
        <v>128.2148902</v>
      </c>
      <c r="K27" s="30"/>
      <c r="L27" s="33">
        <f t="shared" si="3"/>
        <v>128.2148902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52">
        <v>149.70843964617663</v>
      </c>
      <c r="H28" s="39"/>
      <c r="I28" s="33">
        <f t="shared" si="1"/>
        <v>1.242580049</v>
      </c>
      <c r="J28" s="33">
        <f t="shared" si="2"/>
        <v>150.9510197</v>
      </c>
      <c r="K28" s="30"/>
      <c r="L28" s="33">
        <f t="shared" si="3"/>
        <v>150.9510197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45422.0</v>
      </c>
      <c r="F29" s="31" t="s">
        <v>39</v>
      </c>
      <c r="G29" s="52">
        <v>1079.2494944601776</v>
      </c>
      <c r="H29" s="39">
        <v>52.92</v>
      </c>
      <c r="I29" s="33">
        <f t="shared" si="1"/>
        <v>8.957770804</v>
      </c>
      <c r="J29" s="33">
        <f t="shared" si="2"/>
        <v>1141.127265</v>
      </c>
      <c r="K29" s="30"/>
      <c r="L29" s="33">
        <f t="shared" si="3"/>
        <v>1141.127265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45420.0</v>
      </c>
      <c r="F30" s="31" t="s">
        <v>40</v>
      </c>
      <c r="G30" s="52">
        <v>705.7984782894986</v>
      </c>
      <c r="H30" s="39"/>
      <c r="I30" s="33">
        <f t="shared" si="1"/>
        <v>5.85812737</v>
      </c>
      <c r="J30" s="33">
        <f t="shared" si="2"/>
        <v>711.6566057</v>
      </c>
      <c r="K30" s="30"/>
      <c r="L30" s="33">
        <f t="shared" si="3"/>
        <v>711.6566057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45383.0</v>
      </c>
      <c r="F31" s="31" t="s">
        <v>39</v>
      </c>
      <c r="G31" s="52">
        <v>46.364856859377426</v>
      </c>
      <c r="H31" s="39"/>
      <c r="I31" s="33">
        <f t="shared" si="1"/>
        <v>0.3848283119</v>
      </c>
      <c r="J31" s="33">
        <f t="shared" si="2"/>
        <v>46.74968517</v>
      </c>
      <c r="K31" s="30"/>
      <c r="L31" s="33">
        <f t="shared" si="3"/>
        <v>46.74968517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52">
        <v>71.0942040702012</v>
      </c>
      <c r="H32" s="39"/>
      <c r="I32" s="33">
        <f t="shared" si="1"/>
        <v>0.5900818938</v>
      </c>
      <c r="J32" s="33">
        <f t="shared" si="2"/>
        <v>71.68428596</v>
      </c>
      <c r="K32" s="30"/>
      <c r="L32" s="33">
        <f t="shared" si="3"/>
        <v>71.68428596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52">
        <v>239.88216473190212</v>
      </c>
      <c r="H33" s="32"/>
      <c r="I33" s="33">
        <f t="shared" si="1"/>
        <v>1.991021967</v>
      </c>
      <c r="J33" s="33">
        <f t="shared" si="2"/>
        <v>241.8731867</v>
      </c>
      <c r="K33" s="30"/>
      <c r="L33" s="33">
        <f t="shared" si="3"/>
        <v>241.8731867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45427.0</v>
      </c>
      <c r="F34" s="31" t="s">
        <v>39</v>
      </c>
      <c r="G34" s="52">
        <v>73.04554157810536</v>
      </c>
      <c r="H34" s="32"/>
      <c r="I34" s="33">
        <f t="shared" si="1"/>
        <v>0.6062779951</v>
      </c>
      <c r="J34" s="33">
        <f t="shared" si="2"/>
        <v>73.65181957</v>
      </c>
      <c r="K34" s="30"/>
      <c r="L34" s="33">
        <f t="shared" si="3"/>
        <v>73.65181957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45792.0</v>
      </c>
      <c r="F35" s="31"/>
      <c r="G35" s="52">
        <v>886.916180831798</v>
      </c>
      <c r="H35" s="32">
        <v>1042.5</v>
      </c>
      <c r="I35" s="33">
        <f t="shared" si="1"/>
        <v>7.361404301</v>
      </c>
      <c r="J35" s="33">
        <f t="shared" si="2"/>
        <v>1936.777585</v>
      </c>
      <c r="K35" s="30"/>
      <c r="L35" s="33">
        <f t="shared" si="3"/>
        <v>1936.777585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52">
        <v>17.311591622089143</v>
      </c>
      <c r="H36" s="32"/>
      <c r="I36" s="33">
        <f t="shared" si="1"/>
        <v>0.1436862105</v>
      </c>
      <c r="J36" s="33">
        <f t="shared" si="2"/>
        <v>17.45527783</v>
      </c>
      <c r="K36" s="30"/>
      <c r="L36" s="33">
        <f t="shared" si="3"/>
        <v>17.45527783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41">
        <v>31.0</v>
      </c>
      <c r="B37" s="30" t="s">
        <v>104</v>
      </c>
      <c r="C37" s="30" t="s">
        <v>93</v>
      </c>
      <c r="D37" s="30" t="s">
        <v>94</v>
      </c>
      <c r="E37" s="31">
        <v>45782.0</v>
      </c>
      <c r="F37" s="31"/>
      <c r="G37" s="52">
        <v>294.58113355437507</v>
      </c>
      <c r="H37" s="32">
        <v>20.0</v>
      </c>
      <c r="I37" s="33">
        <f t="shared" si="1"/>
        <v>2.445023409</v>
      </c>
      <c r="J37" s="33">
        <f t="shared" si="2"/>
        <v>317.026157</v>
      </c>
      <c r="K37" s="30"/>
      <c r="L37" s="33">
        <f t="shared" si="3"/>
        <v>317.026157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41">
        <v>32.0</v>
      </c>
      <c r="B38" s="34" t="s">
        <v>106</v>
      </c>
      <c r="C38" s="34"/>
      <c r="D38" s="34" t="s">
        <v>94</v>
      </c>
      <c r="E38" s="35">
        <v>45782.0</v>
      </c>
      <c r="F38" s="35"/>
      <c r="G38" s="52">
        <v>229.86697723632932</v>
      </c>
      <c r="H38" s="32">
        <v>20.0</v>
      </c>
      <c r="I38" s="32">
        <f t="shared" si="1"/>
        <v>1.907895911</v>
      </c>
      <c r="J38" s="32">
        <f t="shared" si="2"/>
        <v>251.7748731</v>
      </c>
      <c r="K38" s="34"/>
      <c r="L38" s="32">
        <f t="shared" si="3"/>
        <v>251.7748731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107</v>
      </c>
      <c r="C39" s="34"/>
      <c r="D39" s="34" t="s">
        <v>94</v>
      </c>
      <c r="E39" s="35">
        <v>45782.0</v>
      </c>
      <c r="F39" s="35"/>
      <c r="G39" s="52">
        <v>395.3270212872858</v>
      </c>
      <c r="H39" s="32">
        <v>100.0</v>
      </c>
      <c r="I39" s="32">
        <f t="shared" si="1"/>
        <v>3.281214277</v>
      </c>
      <c r="J39" s="32">
        <f t="shared" si="2"/>
        <v>498.6082356</v>
      </c>
      <c r="K39" s="34"/>
      <c r="L39" s="32">
        <f t="shared" si="3"/>
        <v>498.6082356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108</v>
      </c>
      <c r="C40" s="34"/>
      <c r="D40" s="34" t="s">
        <v>94</v>
      </c>
      <c r="E40" s="35">
        <v>45330.0</v>
      </c>
      <c r="F40" s="35"/>
      <c r="G40" s="52">
        <v>62.504538225367796</v>
      </c>
      <c r="H40" s="32"/>
      <c r="I40" s="32">
        <f t="shared" si="1"/>
        <v>0.5187876673</v>
      </c>
      <c r="J40" s="33">
        <f t="shared" si="2"/>
        <v>63.02332589</v>
      </c>
      <c r="K40" s="34"/>
      <c r="L40" s="32">
        <f t="shared" si="3"/>
        <v>63.02332589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111</v>
      </c>
      <c r="C41" s="34"/>
      <c r="D41" s="34" t="s">
        <v>94</v>
      </c>
      <c r="E41" s="35">
        <v>45333.0</v>
      </c>
      <c r="F41" s="35"/>
      <c r="G41" s="52">
        <v>57.65390067711323</v>
      </c>
      <c r="H41" s="32"/>
      <c r="I41" s="32">
        <f t="shared" si="1"/>
        <v>0.4785273756</v>
      </c>
      <c r="J41" s="33">
        <f t="shared" si="2"/>
        <v>58.13242805</v>
      </c>
      <c r="K41" s="34"/>
      <c r="L41" s="32">
        <f t="shared" si="3"/>
        <v>58.13242805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4" t="s">
        <v>112</v>
      </c>
      <c r="C42" s="34"/>
      <c r="D42" s="34" t="s">
        <v>94</v>
      </c>
      <c r="E42" s="35">
        <v>45245.0</v>
      </c>
      <c r="F42" s="35"/>
      <c r="G42" s="52">
        <v>23.11291012179675</v>
      </c>
      <c r="H42" s="32"/>
      <c r="I42" s="32">
        <f t="shared" si="1"/>
        <v>0.191837154</v>
      </c>
      <c r="J42" s="33">
        <f t="shared" si="2"/>
        <v>23.30474728</v>
      </c>
      <c r="K42" s="34"/>
      <c r="L42" s="32">
        <f t="shared" si="3"/>
        <v>23.30474728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41">
        <v>37.0</v>
      </c>
      <c r="B43" s="34" t="s">
        <v>116</v>
      </c>
      <c r="C43" s="34"/>
      <c r="D43" s="34" t="s">
        <v>94</v>
      </c>
      <c r="E43" s="35">
        <v>45293.0</v>
      </c>
      <c r="F43" s="35"/>
      <c r="G43" s="52">
        <v>11.320002110891512</v>
      </c>
      <c r="H43" s="32"/>
      <c r="I43" s="32">
        <f t="shared" si="1"/>
        <v>0.09395601752</v>
      </c>
      <c r="J43" s="33">
        <f t="shared" si="2"/>
        <v>11.41395813</v>
      </c>
      <c r="K43" s="34"/>
      <c r="L43" s="32">
        <f t="shared" si="3"/>
        <v>11.41395813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118</v>
      </c>
      <c r="C44" s="30"/>
      <c r="D44" s="30" t="s">
        <v>94</v>
      </c>
      <c r="E44" s="31">
        <v>45303.0</v>
      </c>
      <c r="F44" s="31"/>
      <c r="G44" s="52">
        <v>22.640004221783023</v>
      </c>
      <c r="H44" s="32"/>
      <c r="I44" s="33">
        <f t="shared" si="1"/>
        <v>0.187912035</v>
      </c>
      <c r="J44" s="33">
        <f t="shared" si="2"/>
        <v>22.82791626</v>
      </c>
      <c r="K44" s="30"/>
      <c r="L44" s="33">
        <f t="shared" si="3"/>
        <v>22.82791626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4" t="s">
        <v>120</v>
      </c>
      <c r="C45" s="34"/>
      <c r="D45" s="34" t="s">
        <v>94</v>
      </c>
      <c r="E45" s="35">
        <v>45784.0</v>
      </c>
      <c r="F45" s="35"/>
      <c r="G45" s="32">
        <v>159.03639890259217</v>
      </c>
      <c r="H45" s="32">
        <v>20.0</v>
      </c>
      <c r="I45" s="32">
        <f t="shared" si="1"/>
        <v>1.320002111</v>
      </c>
      <c r="J45" s="32">
        <f t="shared" si="2"/>
        <v>180.356401</v>
      </c>
      <c r="K45" s="34"/>
      <c r="L45" s="32">
        <f t="shared" si="3"/>
        <v>180.356401</v>
      </c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41">
        <v>40.0</v>
      </c>
      <c r="B46" s="30" t="s">
        <v>121</v>
      </c>
      <c r="C46" s="30"/>
      <c r="D46" s="30" t="s">
        <v>94</v>
      </c>
      <c r="E46" s="31">
        <v>45324.0</v>
      </c>
      <c r="F46" s="31"/>
      <c r="G46" s="52">
        <v>11.226819508967084</v>
      </c>
      <c r="H46" s="32"/>
      <c r="I46" s="33">
        <f t="shared" si="1"/>
        <v>0.09318260192</v>
      </c>
      <c r="J46" s="33">
        <f t="shared" si="2"/>
        <v>11.32000211</v>
      </c>
      <c r="K46" s="30"/>
      <c r="L46" s="33">
        <f t="shared" si="3"/>
        <v>11.32000211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41">
        <v>41.0</v>
      </c>
      <c r="B47" s="34" t="s">
        <v>161</v>
      </c>
      <c r="C47" s="34"/>
      <c r="D47" s="34" t="s">
        <v>94</v>
      </c>
      <c r="E47" s="35">
        <v>45726.0</v>
      </c>
      <c r="F47" s="35"/>
      <c r="G47" s="64">
        <v>105.04570030427739</v>
      </c>
      <c r="H47" s="32"/>
      <c r="I47" s="32">
        <f t="shared" si="1"/>
        <v>0.8718793125</v>
      </c>
      <c r="J47" s="32">
        <f t="shared" si="2"/>
        <v>105.9175796</v>
      </c>
      <c r="K47" s="12"/>
      <c r="L47" s="32">
        <f t="shared" si="3"/>
        <v>105.9175796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30.0" customHeight="1">
      <c r="A48" s="41">
        <v>42.0</v>
      </c>
      <c r="B48" s="13" t="s">
        <v>125</v>
      </c>
      <c r="C48" s="13"/>
      <c r="D48" s="30" t="s">
        <v>94</v>
      </c>
      <c r="E48" s="14">
        <v>45423.0</v>
      </c>
      <c r="F48" s="14"/>
      <c r="G48" s="53">
        <v>110.0646444757603</v>
      </c>
      <c r="H48" s="32"/>
      <c r="I48" s="33">
        <f t="shared" si="1"/>
        <v>0.9135365491</v>
      </c>
      <c r="J48" s="33">
        <f t="shared" si="2"/>
        <v>110.978181</v>
      </c>
      <c r="K48" s="13"/>
      <c r="L48" s="33">
        <f t="shared" si="3"/>
        <v>110.978181</v>
      </c>
      <c r="M48" s="19"/>
      <c r="N48" s="19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30.0" customHeight="1">
      <c r="A49" s="41">
        <v>43.0</v>
      </c>
      <c r="B49" s="54" t="s">
        <v>126</v>
      </c>
      <c r="C49" s="13"/>
      <c r="D49" s="30" t="s">
        <v>94</v>
      </c>
      <c r="E49" s="14">
        <v>45794.0</v>
      </c>
      <c r="F49" s="14"/>
      <c r="G49" s="53">
        <v>314.98465540919403</v>
      </c>
      <c r="H49" s="32">
        <v>5.0</v>
      </c>
      <c r="I49" s="33">
        <f t="shared" si="1"/>
        <v>2.61437264</v>
      </c>
      <c r="J49" s="33">
        <f t="shared" si="2"/>
        <v>322.599028</v>
      </c>
      <c r="K49" s="13"/>
      <c r="L49" s="33">
        <f t="shared" si="3"/>
        <v>322.599028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41">
        <v>44.0</v>
      </c>
      <c r="B50" s="13" t="s">
        <v>127</v>
      </c>
      <c r="C50" s="13"/>
      <c r="D50" s="30" t="s">
        <v>94</v>
      </c>
      <c r="E50" s="14">
        <v>45420.0</v>
      </c>
      <c r="F50" s="14"/>
      <c r="G50" s="53">
        <v>44.17250549886052</v>
      </c>
      <c r="H50" s="32"/>
      <c r="I50" s="33">
        <f t="shared" si="1"/>
        <v>0.3666317956</v>
      </c>
      <c r="J50" s="33">
        <f t="shared" si="2"/>
        <v>44.53913729</v>
      </c>
      <c r="K50" s="13"/>
      <c r="L50" s="33">
        <f t="shared" si="3"/>
        <v>44.53913729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41">
        <v>45.0</v>
      </c>
      <c r="B51" s="13" t="s">
        <v>128</v>
      </c>
      <c r="C51" s="13"/>
      <c r="D51" s="30" t="s">
        <v>94</v>
      </c>
      <c r="E51" s="14">
        <v>45788.0</v>
      </c>
      <c r="F51" s="14"/>
      <c r="G51" s="53">
        <v>147.80957939362509</v>
      </c>
      <c r="H51" s="32">
        <v>10.0</v>
      </c>
      <c r="I51" s="33">
        <f t="shared" si="1"/>
        <v>1.226819509</v>
      </c>
      <c r="J51" s="33">
        <f t="shared" si="2"/>
        <v>159.0363989</v>
      </c>
      <c r="K51" s="13"/>
      <c r="L51" s="33">
        <f t="shared" si="3"/>
        <v>159.0363989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13" t="s">
        <v>129</v>
      </c>
      <c r="C52" s="13"/>
      <c r="D52" s="30" t="s">
        <v>94</v>
      </c>
      <c r="E52" s="14">
        <v>45787.0</v>
      </c>
      <c r="F52" s="14" t="s">
        <v>101</v>
      </c>
      <c r="G52" s="53">
        <v>1191.7283720822281</v>
      </c>
      <c r="H52" s="32">
        <v>10.0</v>
      </c>
      <c r="I52" s="33">
        <f t="shared" si="1"/>
        <v>9.891345488</v>
      </c>
      <c r="J52" s="33">
        <f t="shared" si="2"/>
        <v>1211.619718</v>
      </c>
      <c r="K52" s="13"/>
      <c r="L52" s="33">
        <f t="shared" si="3"/>
        <v>1211.619718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13" t="s">
        <v>132</v>
      </c>
      <c r="C53" s="13"/>
      <c r="D53" s="30" t="s">
        <v>94</v>
      </c>
      <c r="E53" s="14">
        <v>45420.0</v>
      </c>
      <c r="F53" s="14"/>
      <c r="G53" s="53">
        <v>16.47322336244078</v>
      </c>
      <c r="H53" s="32"/>
      <c r="I53" s="33">
        <f t="shared" si="1"/>
        <v>0.1367277539</v>
      </c>
      <c r="J53" s="33">
        <f t="shared" si="2"/>
        <v>16.60995112</v>
      </c>
      <c r="K53" s="13"/>
      <c r="L53" s="33">
        <f t="shared" si="3"/>
        <v>16.60995112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133</v>
      </c>
      <c r="C54" s="13"/>
      <c r="D54" s="30" t="s">
        <v>94</v>
      </c>
      <c r="E54" s="14">
        <v>45787.0</v>
      </c>
      <c r="F54" s="14"/>
      <c r="G54" s="59">
        <v>584.5201922388491</v>
      </c>
      <c r="H54" s="32">
        <v>20.0</v>
      </c>
      <c r="I54" s="33">
        <f t="shared" si="1"/>
        <v>4.851517596</v>
      </c>
      <c r="J54" s="33">
        <f t="shared" si="2"/>
        <v>609.3717098</v>
      </c>
      <c r="K54" s="13"/>
      <c r="L54" s="33">
        <f t="shared" si="3"/>
        <v>609.3717098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30" t="s">
        <v>134</v>
      </c>
      <c r="C55" s="13"/>
      <c r="D55" s="30" t="s">
        <v>94</v>
      </c>
      <c r="E55" s="14">
        <v>45390.0</v>
      </c>
      <c r="F55" s="14" t="s">
        <v>131</v>
      </c>
      <c r="G55" s="53">
        <v>21.994597931582508</v>
      </c>
      <c r="H55" s="32"/>
      <c r="I55" s="33">
        <f t="shared" si="1"/>
        <v>0.1825551628</v>
      </c>
      <c r="J55" s="33">
        <f t="shared" si="2"/>
        <v>22.17715309</v>
      </c>
      <c r="K55" s="13"/>
      <c r="L55" s="33">
        <f t="shared" si="3"/>
        <v>22.17715309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13" t="s">
        <v>135</v>
      </c>
      <c r="C56" s="13"/>
      <c r="D56" s="30" t="s">
        <v>94</v>
      </c>
      <c r="E56" s="14">
        <v>45787.0</v>
      </c>
      <c r="F56" s="14" t="s">
        <v>131</v>
      </c>
      <c r="G56" s="53">
        <v>229.63235952220313</v>
      </c>
      <c r="H56" s="32">
        <v>20.0</v>
      </c>
      <c r="I56" s="33">
        <f t="shared" si="1"/>
        <v>1.905948584</v>
      </c>
      <c r="J56" s="33">
        <f t="shared" si="2"/>
        <v>251.5383081</v>
      </c>
      <c r="K56" s="13"/>
      <c r="L56" s="33">
        <f t="shared" si="3"/>
        <v>251.5383081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136</v>
      </c>
      <c r="C57" s="13"/>
      <c r="D57" s="30" t="s">
        <v>94</v>
      </c>
      <c r="E57" s="14">
        <v>45390.0</v>
      </c>
      <c r="F57" s="14" t="s">
        <v>131</v>
      </c>
      <c r="G57" s="53">
        <v>21.994597931582508</v>
      </c>
      <c r="H57" s="32"/>
      <c r="I57" s="33">
        <f t="shared" si="1"/>
        <v>0.1825551628</v>
      </c>
      <c r="J57" s="33">
        <f t="shared" si="2"/>
        <v>22.17715309</v>
      </c>
      <c r="K57" s="13"/>
      <c r="L57" s="33">
        <f t="shared" si="3"/>
        <v>22.17715309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138</v>
      </c>
      <c r="C58" s="13"/>
      <c r="D58" s="30" t="s">
        <v>94</v>
      </c>
      <c r="E58" s="14">
        <v>45420.0</v>
      </c>
      <c r="F58" s="14"/>
      <c r="G58" s="53">
        <v>10.951848793299062</v>
      </c>
      <c r="H58" s="32"/>
      <c r="I58" s="33">
        <f t="shared" si="1"/>
        <v>0.09090034498</v>
      </c>
      <c r="J58" s="33">
        <f t="shared" si="2"/>
        <v>11.04274914</v>
      </c>
      <c r="K58" s="13"/>
      <c r="L58" s="33">
        <f t="shared" si="3"/>
        <v>11.04274914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142</v>
      </c>
      <c r="C59" s="13"/>
      <c r="D59" s="30" t="s">
        <v>94</v>
      </c>
      <c r="E59" s="14">
        <v>45791.0</v>
      </c>
      <c r="F59" s="14"/>
      <c r="G59" s="53">
        <v>67.11337385677407</v>
      </c>
      <c r="H59" s="32">
        <v>20.0</v>
      </c>
      <c r="I59" s="33">
        <f t="shared" si="1"/>
        <v>0.557041003</v>
      </c>
      <c r="J59" s="33">
        <f t="shared" si="2"/>
        <v>87.67041486</v>
      </c>
      <c r="K59" s="13"/>
      <c r="L59" s="33">
        <f t="shared" si="3"/>
        <v>87.67041486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153</v>
      </c>
      <c r="C60" s="13" t="s">
        <v>93</v>
      </c>
      <c r="D60" s="30" t="s">
        <v>94</v>
      </c>
      <c r="E60" s="14">
        <v>45783.0</v>
      </c>
      <c r="F60" s="14"/>
      <c r="G60" s="53">
        <v>302.91880658935</v>
      </c>
      <c r="H60" s="32">
        <v>100.0</v>
      </c>
      <c r="I60" s="33">
        <f t="shared" si="1"/>
        <v>2.514226095</v>
      </c>
      <c r="J60" s="33">
        <f t="shared" si="2"/>
        <v>405.4330327</v>
      </c>
      <c r="K60" s="13"/>
      <c r="L60" s="33">
        <f t="shared" si="3"/>
        <v>405.4330327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154</v>
      </c>
      <c r="C61" s="13"/>
      <c r="D61" s="30" t="s">
        <v>94</v>
      </c>
      <c r="E61" s="14">
        <v>45804.0</v>
      </c>
      <c r="F61" s="14"/>
      <c r="G61" s="32">
        <v>203.34416867870002</v>
      </c>
      <c r="H61" s="32">
        <v>100.0</v>
      </c>
      <c r="I61" s="33">
        <f t="shared" si="1"/>
        <v>1.6877566</v>
      </c>
      <c r="J61" s="33">
        <f t="shared" si="2"/>
        <v>305.0319253</v>
      </c>
      <c r="K61" s="13"/>
      <c r="L61" s="33">
        <f t="shared" si="3"/>
        <v>305.0319253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3" t="s">
        <v>155</v>
      </c>
      <c r="C62" s="13"/>
      <c r="D62" s="30" t="s">
        <v>94</v>
      </c>
      <c r="E62" s="14">
        <v>45726.0</v>
      </c>
      <c r="F62" s="14"/>
      <c r="G62" s="32">
        <v>112.00442878935002</v>
      </c>
      <c r="H62" s="32"/>
      <c r="I62" s="33">
        <f t="shared" si="1"/>
        <v>0.929636759</v>
      </c>
      <c r="J62" s="33">
        <f t="shared" si="2"/>
        <v>112.9340655</v>
      </c>
      <c r="K62" s="13"/>
      <c r="L62" s="33">
        <f t="shared" si="3"/>
        <v>112.9340655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41">
        <v>57.0</v>
      </c>
      <c r="B63" s="13" t="s">
        <v>162</v>
      </c>
      <c r="C63" s="13"/>
      <c r="D63" s="30" t="s">
        <v>94</v>
      </c>
      <c r="E63" s="14">
        <v>45786.0</v>
      </c>
      <c r="F63" s="14"/>
      <c r="G63" s="32">
        <v>30.417072417869996</v>
      </c>
      <c r="H63" s="32">
        <v>10.0</v>
      </c>
      <c r="I63" s="33">
        <f t="shared" si="1"/>
        <v>0.2524617011</v>
      </c>
      <c r="J63" s="33">
        <f t="shared" si="2"/>
        <v>40.66953412</v>
      </c>
      <c r="K63" s="13"/>
      <c r="L63" s="33">
        <f t="shared" si="3"/>
        <v>40.66953412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157</v>
      </c>
      <c r="C64" s="13"/>
      <c r="D64" s="30" t="s">
        <v>94</v>
      </c>
      <c r="E64" s="14">
        <v>45785.0</v>
      </c>
      <c r="F64" s="14"/>
      <c r="G64" s="32">
        <v>15.208880658935</v>
      </c>
      <c r="H64" s="32">
        <v>5.0</v>
      </c>
      <c r="I64" s="16">
        <f t="shared" si="1"/>
        <v>0.1262337095</v>
      </c>
      <c r="J64" s="33">
        <f t="shared" si="2"/>
        <v>20.33511437</v>
      </c>
      <c r="K64" s="13"/>
      <c r="L64" s="33">
        <f t="shared" si="3"/>
        <v>20.33511437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2" t="s">
        <v>159</v>
      </c>
      <c r="C65" s="12"/>
      <c r="D65" s="34" t="s">
        <v>94</v>
      </c>
      <c r="E65" s="22">
        <v>45780.0</v>
      </c>
      <c r="F65" s="22"/>
      <c r="G65" s="32">
        <v>151.24844450000003</v>
      </c>
      <c r="H65" s="32">
        <v>50.0</v>
      </c>
      <c r="I65" s="15">
        <f t="shared" si="1"/>
        <v>1.255362089</v>
      </c>
      <c r="J65" s="32">
        <f t="shared" si="2"/>
        <v>202.5038066</v>
      </c>
      <c r="K65" s="12"/>
      <c r="L65" s="32">
        <f t="shared" si="3"/>
        <v>202.5038066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30.0" customHeight="1">
      <c r="A66" s="41">
        <v>60.0</v>
      </c>
      <c r="B66" s="13" t="s">
        <v>160</v>
      </c>
      <c r="C66" s="13"/>
      <c r="D66" s="30" t="s">
        <v>94</v>
      </c>
      <c r="E66" s="14">
        <v>324.0</v>
      </c>
      <c r="F66" s="14"/>
      <c r="G66" s="32">
        <v>10.12484445</v>
      </c>
      <c r="H66" s="32"/>
      <c r="I66" s="16">
        <f t="shared" si="1"/>
        <v>0.08403620894</v>
      </c>
      <c r="J66" s="33">
        <f t="shared" si="2"/>
        <v>10.20888066</v>
      </c>
      <c r="K66" s="13"/>
      <c r="L66" s="33">
        <f t="shared" si="3"/>
        <v>10.20888066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30.0" customHeight="1">
      <c r="A67" s="41">
        <v>61.0</v>
      </c>
      <c r="B67" s="13" t="s">
        <v>164</v>
      </c>
      <c r="C67" s="13"/>
      <c r="D67" s="30" t="s">
        <v>94</v>
      </c>
      <c r="E67" s="14">
        <v>45783.0</v>
      </c>
      <c r="F67" s="14"/>
      <c r="G67" s="32">
        <v>20.0</v>
      </c>
      <c r="H67" s="32">
        <v>20.0</v>
      </c>
      <c r="I67" s="16">
        <f t="shared" si="1"/>
        <v>0.166</v>
      </c>
      <c r="J67" s="33">
        <f t="shared" si="2"/>
        <v>40.166</v>
      </c>
      <c r="K67" s="13"/>
      <c r="L67" s="33">
        <f t="shared" si="3"/>
        <v>40.166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30.0" customHeight="1">
      <c r="A68" s="41">
        <v>62.0</v>
      </c>
      <c r="B68" s="13" t="s">
        <v>165</v>
      </c>
      <c r="C68" s="13"/>
      <c r="D68" s="30" t="s">
        <v>94</v>
      </c>
      <c r="E68" s="14">
        <v>45780.0</v>
      </c>
      <c r="F68" s="14"/>
      <c r="G68" s="32">
        <v>30.0</v>
      </c>
      <c r="H68" s="32">
        <v>25.0</v>
      </c>
      <c r="I68" s="16">
        <f t="shared" si="1"/>
        <v>0.249</v>
      </c>
      <c r="J68" s="33">
        <f t="shared" si="2"/>
        <v>55.249</v>
      </c>
      <c r="K68" s="13"/>
      <c r="L68" s="33">
        <f t="shared" si="3"/>
        <v>55.249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30.0" customHeight="1">
      <c r="A69" s="41"/>
      <c r="B69" s="13"/>
      <c r="C69" s="13"/>
      <c r="D69" s="30"/>
      <c r="E69" s="14"/>
      <c r="F69" s="14"/>
      <c r="G69" s="32"/>
      <c r="H69" s="32"/>
      <c r="I69" s="16"/>
      <c r="J69" s="33"/>
      <c r="K69" s="13"/>
      <c r="L69" s="3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0" customHeight="1">
      <c r="A70" s="17"/>
      <c r="B70" s="13"/>
      <c r="C70" s="13"/>
      <c r="D70" s="13"/>
      <c r="E70" s="13"/>
      <c r="F70" s="13"/>
      <c r="G70" s="55">
        <f t="shared" ref="G70:L70" si="4">SUM(G7:G69)</f>
        <v>50700.10198</v>
      </c>
      <c r="H70" s="55">
        <f t="shared" si="4"/>
        <v>2249.7</v>
      </c>
      <c r="I70" s="55">
        <f t="shared" si="4"/>
        <v>420.8108464</v>
      </c>
      <c r="J70" s="55">
        <f t="shared" si="4"/>
        <v>53370.61282</v>
      </c>
      <c r="K70" s="55">
        <f t="shared" si="4"/>
        <v>0</v>
      </c>
      <c r="L70" s="55">
        <f t="shared" si="4"/>
        <v>53370.61282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6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2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70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167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>
        <v>45786.0</v>
      </c>
      <c r="F7" s="31"/>
      <c r="G7" s="52">
        <v>4996.279684121295</v>
      </c>
      <c r="H7" s="32"/>
      <c r="I7" s="33">
        <f t="shared" ref="I7:I47" si="1">G7*0.83%</f>
        <v>41.46912138</v>
      </c>
      <c r="J7" s="33">
        <f t="shared" ref="J7:J72" si="2">G7+H7+I7</f>
        <v>5037.748805</v>
      </c>
      <c r="K7" s="30"/>
      <c r="L7" s="33">
        <f t="shared" ref="L7:L72" si="3">J7-K7</f>
        <v>5037.748805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1">
        <v>45818.0</v>
      </c>
      <c r="F8" s="31"/>
      <c r="G8" s="52">
        <v>8472.19047785079</v>
      </c>
      <c r="H8" s="32">
        <v>30.0</v>
      </c>
      <c r="I8" s="33">
        <f t="shared" si="1"/>
        <v>70.31918097</v>
      </c>
      <c r="J8" s="33">
        <f t="shared" si="2"/>
        <v>8572.509659</v>
      </c>
      <c r="K8" s="30"/>
      <c r="L8" s="33">
        <f t="shared" si="3"/>
        <v>8572.509659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1">
        <v>45786.0</v>
      </c>
      <c r="F9" s="31"/>
      <c r="G9" s="52">
        <v>8518.456595843925</v>
      </c>
      <c r="H9" s="32"/>
      <c r="I9" s="33">
        <f t="shared" si="1"/>
        <v>70.70318975</v>
      </c>
      <c r="J9" s="33">
        <f t="shared" si="2"/>
        <v>8589.159786</v>
      </c>
      <c r="K9" s="30"/>
      <c r="L9" s="33">
        <f t="shared" si="3"/>
        <v>8589.159786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>
        <v>45171.0</v>
      </c>
      <c r="F10" s="35"/>
      <c r="G10" s="52">
        <v>213.3841744611779</v>
      </c>
      <c r="H10" s="32"/>
      <c r="I10" s="32">
        <f t="shared" si="1"/>
        <v>1.771088648</v>
      </c>
      <c r="J10" s="33">
        <f t="shared" si="2"/>
        <v>215.1552631</v>
      </c>
      <c r="K10" s="51"/>
      <c r="L10" s="32">
        <f t="shared" si="3"/>
        <v>215.1552631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>
        <v>45814.0</v>
      </c>
      <c r="F11" s="35"/>
      <c r="G11" s="52">
        <v>639.6321392598475</v>
      </c>
      <c r="H11" s="32">
        <v>20.0</v>
      </c>
      <c r="I11" s="32">
        <f t="shared" si="1"/>
        <v>5.308946756</v>
      </c>
      <c r="J11" s="33">
        <f t="shared" si="2"/>
        <v>664.941086</v>
      </c>
      <c r="K11" s="34"/>
      <c r="L11" s="32">
        <f t="shared" si="3"/>
        <v>664.941086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47</v>
      </c>
      <c r="C12" s="34" t="s">
        <v>91</v>
      </c>
      <c r="D12" s="34" t="s">
        <v>92</v>
      </c>
      <c r="E12" s="35">
        <v>45812.0</v>
      </c>
      <c r="F12" s="35"/>
      <c r="G12" s="52">
        <v>579.2289414738744</v>
      </c>
      <c r="H12" s="32">
        <v>30.0</v>
      </c>
      <c r="I12" s="32">
        <f t="shared" si="1"/>
        <v>4.807600214</v>
      </c>
      <c r="J12" s="33">
        <f t="shared" si="2"/>
        <v>614.0365417</v>
      </c>
      <c r="K12" s="34"/>
      <c r="L12" s="32">
        <f t="shared" si="3"/>
        <v>614.0365417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45818.0</v>
      </c>
      <c r="F13" s="35"/>
      <c r="G13" s="52">
        <v>8341.400348487756</v>
      </c>
      <c r="H13" s="32">
        <v>53.72</v>
      </c>
      <c r="I13" s="32">
        <f t="shared" si="1"/>
        <v>69.23362289</v>
      </c>
      <c r="J13" s="33">
        <f t="shared" si="2"/>
        <v>8464.353971</v>
      </c>
      <c r="K13" s="34"/>
      <c r="L13" s="32">
        <f t="shared" si="3"/>
        <v>8464.353971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41">
        <v>8.0</v>
      </c>
      <c r="B14" s="34" t="s">
        <v>48</v>
      </c>
      <c r="C14" s="34" t="s">
        <v>91</v>
      </c>
      <c r="D14" s="34" t="s">
        <v>92</v>
      </c>
      <c r="E14" s="35">
        <v>45813.0</v>
      </c>
      <c r="F14" s="35"/>
      <c r="G14" s="52">
        <v>2231.010166275632</v>
      </c>
      <c r="H14" s="32">
        <v>100.0</v>
      </c>
      <c r="I14" s="32">
        <f t="shared" si="1"/>
        <v>18.51738438</v>
      </c>
      <c r="J14" s="33">
        <f t="shared" si="2"/>
        <v>2349.527551</v>
      </c>
      <c r="K14" s="51"/>
      <c r="L14" s="32">
        <f t="shared" si="3"/>
        <v>2349.527551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41">
        <v>9.0</v>
      </c>
      <c r="B15" s="30" t="s">
        <v>146</v>
      </c>
      <c r="C15" s="30" t="s">
        <v>91</v>
      </c>
      <c r="D15" s="30" t="s">
        <v>94</v>
      </c>
      <c r="E15" s="31">
        <v>45817.0</v>
      </c>
      <c r="F15" s="31"/>
      <c r="G15" s="52">
        <v>4012.6979519245997</v>
      </c>
      <c r="H15" s="32">
        <v>20.0</v>
      </c>
      <c r="I15" s="33">
        <f t="shared" si="1"/>
        <v>33.305393</v>
      </c>
      <c r="J15" s="33">
        <f t="shared" si="2"/>
        <v>4066.003345</v>
      </c>
      <c r="K15" s="30"/>
      <c r="L15" s="33">
        <f t="shared" si="3"/>
        <v>4066.003345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41">
        <v>10.0</v>
      </c>
      <c r="B16" s="30" t="s">
        <v>49</v>
      </c>
      <c r="C16" s="30" t="s">
        <v>91</v>
      </c>
      <c r="D16" s="30" t="s">
        <v>94</v>
      </c>
      <c r="E16" s="31">
        <v>45813.0</v>
      </c>
      <c r="F16" s="31" t="s">
        <v>38</v>
      </c>
      <c r="G16" s="52">
        <v>225.71094988058425</v>
      </c>
      <c r="H16" s="32">
        <v>10.0</v>
      </c>
      <c r="I16" s="33">
        <f t="shared" si="1"/>
        <v>1.873400884</v>
      </c>
      <c r="J16" s="33">
        <f t="shared" si="2"/>
        <v>237.5843508</v>
      </c>
      <c r="K16" s="30"/>
      <c r="L16" s="33">
        <f t="shared" si="3"/>
        <v>237.5843508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1">
        <v>45787.0</v>
      </c>
      <c r="F17" s="31" t="s">
        <v>39</v>
      </c>
      <c r="G17" s="52">
        <v>482.0830924705287</v>
      </c>
      <c r="H17" s="32"/>
      <c r="I17" s="33">
        <f t="shared" si="1"/>
        <v>4.001289668</v>
      </c>
      <c r="J17" s="33">
        <f t="shared" si="2"/>
        <v>486.0843821</v>
      </c>
      <c r="K17" s="30"/>
      <c r="L17" s="33">
        <f t="shared" si="3"/>
        <v>486.0843821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1">
        <v>45294.0</v>
      </c>
      <c r="F18" s="31" t="s">
        <v>34</v>
      </c>
      <c r="G18" s="52">
        <v>117.79261871435027</v>
      </c>
      <c r="H18" s="32"/>
      <c r="I18" s="33">
        <f t="shared" si="1"/>
        <v>0.9776787353</v>
      </c>
      <c r="J18" s="33">
        <f t="shared" si="2"/>
        <v>118.7702974</v>
      </c>
      <c r="K18" s="30"/>
      <c r="L18" s="33">
        <f t="shared" si="3"/>
        <v>118.7702974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1">
        <v>45029.0</v>
      </c>
      <c r="F19" s="31" t="s">
        <v>38</v>
      </c>
      <c r="G19" s="52">
        <v>93.24057920067392</v>
      </c>
      <c r="H19" s="32"/>
      <c r="I19" s="33">
        <f t="shared" si="1"/>
        <v>0.7738968074</v>
      </c>
      <c r="J19" s="33">
        <f t="shared" si="2"/>
        <v>94.01447601</v>
      </c>
      <c r="K19" s="30"/>
      <c r="L19" s="33">
        <f t="shared" si="3"/>
        <v>94.01447601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1">
        <v>45811.0</v>
      </c>
      <c r="F20" s="31" t="s">
        <v>38</v>
      </c>
      <c r="G20" s="52">
        <v>275.5225464531668</v>
      </c>
      <c r="H20" s="32">
        <v>20.0</v>
      </c>
      <c r="I20" s="32">
        <f t="shared" si="1"/>
        <v>2.286837136</v>
      </c>
      <c r="J20" s="33">
        <f t="shared" si="2"/>
        <v>297.8093836</v>
      </c>
      <c r="K20" s="34"/>
      <c r="L20" s="32">
        <f t="shared" si="3"/>
        <v>297.8093836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5">
        <v>45818.0</v>
      </c>
      <c r="F21" s="35" t="s">
        <v>34</v>
      </c>
      <c r="G21" s="52">
        <v>2452.605672034112</v>
      </c>
      <c r="H21" s="32">
        <v>100.0</v>
      </c>
      <c r="I21" s="33">
        <f t="shared" si="1"/>
        <v>20.35662708</v>
      </c>
      <c r="J21" s="33">
        <f t="shared" si="2"/>
        <v>2572.962299</v>
      </c>
      <c r="K21" s="30"/>
      <c r="L21" s="33">
        <f t="shared" si="3"/>
        <v>2572.962299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1">
        <v>45665.0</v>
      </c>
      <c r="F22" s="31" t="s">
        <v>33</v>
      </c>
      <c r="G22" s="52">
        <v>317.8917423163656</v>
      </c>
      <c r="H22" s="32"/>
      <c r="I22" s="33">
        <f t="shared" si="1"/>
        <v>2.638501461</v>
      </c>
      <c r="J22" s="33">
        <f t="shared" si="2"/>
        <v>320.5302438</v>
      </c>
      <c r="K22" s="30"/>
      <c r="L22" s="33">
        <f t="shared" si="3"/>
        <v>320.5302438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1">
        <v>45817.0</v>
      </c>
      <c r="F23" s="31" t="s">
        <v>38</v>
      </c>
      <c r="G23" s="52">
        <v>20.083</v>
      </c>
      <c r="H23" s="39">
        <v>10.0</v>
      </c>
      <c r="I23" s="32">
        <f t="shared" si="1"/>
        <v>0.1666889</v>
      </c>
      <c r="J23" s="33">
        <f t="shared" si="2"/>
        <v>30.2496889</v>
      </c>
      <c r="K23" s="34"/>
      <c r="L23" s="32">
        <f t="shared" si="3"/>
        <v>30.2496889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41">
        <v>18.0</v>
      </c>
      <c r="B24" s="34" t="s">
        <v>41</v>
      </c>
      <c r="C24" s="34" t="s">
        <v>91</v>
      </c>
      <c r="D24" s="30" t="s">
        <v>94</v>
      </c>
      <c r="E24" s="35">
        <v>45670.0</v>
      </c>
      <c r="F24" s="35" t="s">
        <v>34</v>
      </c>
      <c r="G24" s="52">
        <v>389.19346237146124</v>
      </c>
      <c r="H24" s="39"/>
      <c r="I24" s="33">
        <f t="shared" si="1"/>
        <v>3.230305738</v>
      </c>
      <c r="J24" s="33">
        <f t="shared" si="2"/>
        <v>392.4237681</v>
      </c>
      <c r="K24" s="30"/>
      <c r="L24" s="33">
        <f t="shared" si="3"/>
        <v>392.4237681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1">
        <v>45832.0</v>
      </c>
      <c r="F25" s="31" t="s">
        <v>39</v>
      </c>
      <c r="G25" s="52">
        <v>779.1220699637271</v>
      </c>
      <c r="H25" s="39">
        <v>20.0</v>
      </c>
      <c r="I25" s="33">
        <f t="shared" si="1"/>
        <v>6.466713181</v>
      </c>
      <c r="J25" s="33">
        <f t="shared" si="2"/>
        <v>805.5887831</v>
      </c>
      <c r="K25" s="30"/>
      <c r="L25" s="33">
        <f t="shared" si="3"/>
        <v>805.5887831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>
        <v>45386.0</v>
      </c>
      <c r="F26" s="31" t="s">
        <v>34</v>
      </c>
      <c r="G26" s="52">
        <v>87.34810475384324</v>
      </c>
      <c r="H26" s="39"/>
      <c r="I26" s="32">
        <f t="shared" si="1"/>
        <v>0.7249892695</v>
      </c>
      <c r="J26" s="33">
        <f t="shared" si="2"/>
        <v>88.07309402</v>
      </c>
      <c r="K26" s="34"/>
      <c r="L26" s="32">
        <f t="shared" si="3"/>
        <v>88.07309402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>
        <v>45140.0</v>
      </c>
      <c r="F27" s="35" t="s">
        <v>38</v>
      </c>
      <c r="G27" s="52">
        <v>128.21489023235802</v>
      </c>
      <c r="H27" s="39"/>
      <c r="I27" s="33">
        <f t="shared" si="1"/>
        <v>1.064183589</v>
      </c>
      <c r="J27" s="33">
        <f t="shared" si="2"/>
        <v>129.2790738</v>
      </c>
      <c r="K27" s="30"/>
      <c r="L27" s="33">
        <f t="shared" si="3"/>
        <v>129.2790738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>
        <v>45235.0</v>
      </c>
      <c r="F28" s="31" t="s">
        <v>38</v>
      </c>
      <c r="G28" s="52">
        <v>150.9510196952399</v>
      </c>
      <c r="H28" s="39"/>
      <c r="I28" s="33">
        <f t="shared" si="1"/>
        <v>1.252893463</v>
      </c>
      <c r="J28" s="33">
        <f t="shared" si="2"/>
        <v>152.2039132</v>
      </c>
      <c r="K28" s="30"/>
      <c r="L28" s="33">
        <f t="shared" si="3"/>
        <v>152.2039132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1">
        <v>45422.0</v>
      </c>
      <c r="F29" s="31" t="s">
        <v>39</v>
      </c>
      <c r="G29" s="52">
        <v>1141.1272652641971</v>
      </c>
      <c r="H29" s="39">
        <v>50.0</v>
      </c>
      <c r="I29" s="33">
        <f t="shared" si="1"/>
        <v>9.471356302</v>
      </c>
      <c r="J29" s="33">
        <f t="shared" si="2"/>
        <v>1200.598622</v>
      </c>
      <c r="K29" s="30"/>
      <c r="L29" s="33">
        <f t="shared" si="3"/>
        <v>1200.598622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>
        <v>45420.0</v>
      </c>
      <c r="F30" s="31" t="s">
        <v>40</v>
      </c>
      <c r="G30" s="52">
        <v>711.6566056593014</v>
      </c>
      <c r="H30" s="39"/>
      <c r="I30" s="33">
        <f t="shared" si="1"/>
        <v>5.906749827</v>
      </c>
      <c r="J30" s="33">
        <f t="shared" si="2"/>
        <v>717.5633555</v>
      </c>
      <c r="K30" s="30"/>
      <c r="L30" s="33">
        <f t="shared" si="3"/>
        <v>717.5633555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>
        <v>45383.0</v>
      </c>
      <c r="F31" s="31" t="s">
        <v>39</v>
      </c>
      <c r="G31" s="52">
        <v>46.74968517131026</v>
      </c>
      <c r="H31" s="39"/>
      <c r="I31" s="33">
        <f t="shared" si="1"/>
        <v>0.3880223869</v>
      </c>
      <c r="J31" s="33">
        <f t="shared" si="2"/>
        <v>47.13770756</v>
      </c>
      <c r="K31" s="30"/>
      <c r="L31" s="33">
        <f t="shared" si="3"/>
        <v>47.13770756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>
        <v>45209.0</v>
      </c>
      <c r="F32" s="31" t="s">
        <v>33</v>
      </c>
      <c r="G32" s="52">
        <v>71.68428596398387</v>
      </c>
      <c r="H32" s="39"/>
      <c r="I32" s="33">
        <f t="shared" si="1"/>
        <v>0.5949795735</v>
      </c>
      <c r="J32" s="33">
        <f t="shared" si="2"/>
        <v>72.27926554</v>
      </c>
      <c r="K32" s="30"/>
      <c r="L32" s="33">
        <f t="shared" si="3"/>
        <v>72.27926554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>
        <v>45085.0</v>
      </c>
      <c r="F33" s="31" t="s">
        <v>38</v>
      </c>
      <c r="G33" s="52">
        <v>241.8731866991769</v>
      </c>
      <c r="H33" s="32"/>
      <c r="I33" s="33">
        <f t="shared" si="1"/>
        <v>2.00754745</v>
      </c>
      <c r="J33" s="33">
        <f t="shared" si="2"/>
        <v>243.8807341</v>
      </c>
      <c r="K33" s="30"/>
      <c r="L33" s="33">
        <f t="shared" si="3"/>
        <v>243.8807341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>
        <v>45427.0</v>
      </c>
      <c r="F34" s="31" t="s">
        <v>39</v>
      </c>
      <c r="G34" s="52">
        <v>73.65181957320364</v>
      </c>
      <c r="H34" s="32"/>
      <c r="I34" s="33">
        <f t="shared" si="1"/>
        <v>0.6113101025</v>
      </c>
      <c r="J34" s="33">
        <f t="shared" si="2"/>
        <v>74.26312968</v>
      </c>
      <c r="K34" s="30"/>
      <c r="L34" s="33">
        <f t="shared" si="3"/>
        <v>74.26312968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1">
        <v>45819.0</v>
      </c>
      <c r="F35" s="31"/>
      <c r="G35" s="52">
        <v>1936.777585132702</v>
      </c>
      <c r="H35" s="32">
        <v>50.0</v>
      </c>
      <c r="I35" s="33">
        <f t="shared" si="1"/>
        <v>16.07525396</v>
      </c>
      <c r="J35" s="33">
        <f t="shared" si="2"/>
        <v>2002.852839</v>
      </c>
      <c r="K35" s="30"/>
      <c r="L35" s="33">
        <f t="shared" si="3"/>
        <v>2002.852839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102</v>
      </c>
      <c r="C36" s="30"/>
      <c r="D36" s="30" t="s">
        <v>94</v>
      </c>
      <c r="E36" s="31">
        <v>45235.0</v>
      </c>
      <c r="F36" s="31"/>
      <c r="G36" s="52">
        <v>17.455277832552483</v>
      </c>
      <c r="H36" s="32"/>
      <c r="I36" s="33">
        <f t="shared" si="1"/>
        <v>0.144878806</v>
      </c>
      <c r="J36" s="33">
        <f t="shared" si="2"/>
        <v>17.60015664</v>
      </c>
      <c r="K36" s="30"/>
      <c r="L36" s="33">
        <f t="shared" si="3"/>
        <v>17.60015664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41">
        <v>31.0</v>
      </c>
      <c r="B37" s="30" t="s">
        <v>104</v>
      </c>
      <c r="C37" s="30" t="s">
        <v>93</v>
      </c>
      <c r="D37" s="30" t="s">
        <v>94</v>
      </c>
      <c r="E37" s="31">
        <v>45811.0</v>
      </c>
      <c r="F37" s="31"/>
      <c r="G37" s="52">
        <v>317.02615696287637</v>
      </c>
      <c r="H37" s="32">
        <v>20.0</v>
      </c>
      <c r="I37" s="33">
        <f t="shared" si="1"/>
        <v>2.631317103</v>
      </c>
      <c r="J37" s="33">
        <f t="shared" si="2"/>
        <v>339.6574741</v>
      </c>
      <c r="K37" s="30"/>
      <c r="L37" s="33">
        <f t="shared" si="3"/>
        <v>339.6574741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41">
        <v>32.0</v>
      </c>
      <c r="B38" s="34" t="s">
        <v>106</v>
      </c>
      <c r="C38" s="34"/>
      <c r="D38" s="34" t="s">
        <v>94</v>
      </c>
      <c r="E38" s="35">
        <v>45809.0</v>
      </c>
      <c r="F38" s="35"/>
      <c r="G38" s="52">
        <v>251.77487314739085</v>
      </c>
      <c r="H38" s="32">
        <v>30.0</v>
      </c>
      <c r="I38" s="32">
        <f t="shared" si="1"/>
        <v>2.089731447</v>
      </c>
      <c r="J38" s="32">
        <f t="shared" si="2"/>
        <v>283.8646046</v>
      </c>
      <c r="K38" s="34"/>
      <c r="L38" s="32">
        <f t="shared" si="3"/>
        <v>283.8646046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107</v>
      </c>
      <c r="C39" s="34"/>
      <c r="D39" s="34" t="s">
        <v>94</v>
      </c>
      <c r="E39" s="35">
        <v>45813.0</v>
      </c>
      <c r="F39" s="35"/>
      <c r="G39" s="52">
        <v>498.60823556397025</v>
      </c>
      <c r="H39" s="32">
        <v>50.0</v>
      </c>
      <c r="I39" s="32">
        <f t="shared" si="1"/>
        <v>4.138448355</v>
      </c>
      <c r="J39" s="32">
        <f t="shared" si="2"/>
        <v>552.7466839</v>
      </c>
      <c r="K39" s="34"/>
      <c r="L39" s="32">
        <f t="shared" si="3"/>
        <v>552.7466839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108</v>
      </c>
      <c r="C40" s="34"/>
      <c r="D40" s="34" t="s">
        <v>94</v>
      </c>
      <c r="E40" s="35">
        <v>45330.0</v>
      </c>
      <c r="F40" s="35"/>
      <c r="G40" s="52">
        <v>63.02332589263835</v>
      </c>
      <c r="H40" s="32"/>
      <c r="I40" s="32">
        <f t="shared" si="1"/>
        <v>0.5230936049</v>
      </c>
      <c r="J40" s="33">
        <f t="shared" si="2"/>
        <v>63.5464195</v>
      </c>
      <c r="K40" s="34"/>
      <c r="L40" s="32">
        <f t="shared" si="3"/>
        <v>63.5464195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111</v>
      </c>
      <c r="C41" s="34"/>
      <c r="D41" s="34" t="s">
        <v>94</v>
      </c>
      <c r="E41" s="35">
        <v>45333.0</v>
      </c>
      <c r="F41" s="35"/>
      <c r="G41" s="52">
        <v>58.13242805273327</v>
      </c>
      <c r="H41" s="32"/>
      <c r="I41" s="32">
        <f t="shared" si="1"/>
        <v>0.4824991528</v>
      </c>
      <c r="J41" s="33">
        <f t="shared" si="2"/>
        <v>58.61492721</v>
      </c>
      <c r="K41" s="34"/>
      <c r="L41" s="32">
        <f t="shared" si="3"/>
        <v>58.61492721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4" t="s">
        <v>112</v>
      </c>
      <c r="C42" s="34"/>
      <c r="D42" s="34" t="s">
        <v>94</v>
      </c>
      <c r="E42" s="35">
        <v>45245.0</v>
      </c>
      <c r="F42" s="35"/>
      <c r="G42" s="52">
        <v>23.304747275807664</v>
      </c>
      <c r="H42" s="32"/>
      <c r="I42" s="32">
        <f t="shared" si="1"/>
        <v>0.1934294024</v>
      </c>
      <c r="J42" s="33">
        <f t="shared" si="2"/>
        <v>23.49817668</v>
      </c>
      <c r="K42" s="34"/>
      <c r="L42" s="32">
        <f t="shared" si="3"/>
        <v>23.49817668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41">
        <v>37.0</v>
      </c>
      <c r="B43" s="34" t="s">
        <v>116</v>
      </c>
      <c r="C43" s="34"/>
      <c r="D43" s="34" t="s">
        <v>94</v>
      </c>
      <c r="E43" s="35">
        <v>45293.0</v>
      </c>
      <c r="F43" s="35"/>
      <c r="G43" s="52">
        <v>11.413958128411911</v>
      </c>
      <c r="H43" s="32"/>
      <c r="I43" s="32">
        <f t="shared" si="1"/>
        <v>0.09473585247</v>
      </c>
      <c r="J43" s="33">
        <f t="shared" si="2"/>
        <v>11.50869398</v>
      </c>
      <c r="K43" s="34"/>
      <c r="L43" s="32">
        <f t="shared" si="3"/>
        <v>11.50869398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118</v>
      </c>
      <c r="C44" s="30"/>
      <c r="D44" s="30" t="s">
        <v>94</v>
      </c>
      <c r="E44" s="31">
        <v>45303.0</v>
      </c>
      <c r="F44" s="31"/>
      <c r="G44" s="52">
        <v>22.827916256823823</v>
      </c>
      <c r="H44" s="32"/>
      <c r="I44" s="33">
        <f t="shared" si="1"/>
        <v>0.1894717049</v>
      </c>
      <c r="J44" s="33">
        <f t="shared" si="2"/>
        <v>23.01738796</v>
      </c>
      <c r="K44" s="30"/>
      <c r="L44" s="33">
        <f t="shared" si="3"/>
        <v>23.01738796</v>
      </c>
      <c r="M44" s="4">
        <f>210.72+106.7</f>
        <v>317.42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4" t="s">
        <v>120</v>
      </c>
      <c r="C45" s="34"/>
      <c r="D45" s="34" t="s">
        <v>94</v>
      </c>
      <c r="E45" s="35">
        <v>45818.0</v>
      </c>
      <c r="F45" s="35"/>
      <c r="G45" s="32">
        <v>180.3564010134837</v>
      </c>
      <c r="H45" s="32">
        <v>20.0</v>
      </c>
      <c r="I45" s="32">
        <f t="shared" si="1"/>
        <v>1.496958128</v>
      </c>
      <c r="J45" s="32">
        <f t="shared" si="2"/>
        <v>201.8533591</v>
      </c>
      <c r="K45" s="34"/>
      <c r="L45" s="32">
        <f t="shared" si="3"/>
        <v>201.8533591</v>
      </c>
      <c r="M45" s="65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41">
        <v>40.0</v>
      </c>
      <c r="B46" s="30" t="s">
        <v>121</v>
      </c>
      <c r="C46" s="30"/>
      <c r="D46" s="30" t="s">
        <v>94</v>
      </c>
      <c r="E46" s="31">
        <v>45324.0</v>
      </c>
      <c r="F46" s="31"/>
      <c r="G46" s="52">
        <v>11.320002110891512</v>
      </c>
      <c r="H46" s="32"/>
      <c r="I46" s="33">
        <f t="shared" si="1"/>
        <v>0.09395601752</v>
      </c>
      <c r="J46" s="33">
        <f t="shared" si="2"/>
        <v>11.41395813</v>
      </c>
      <c r="K46" s="30"/>
      <c r="L46" s="33">
        <f t="shared" si="3"/>
        <v>11.41395813</v>
      </c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41">
        <v>41.0</v>
      </c>
      <c r="B47" s="34" t="s">
        <v>161</v>
      </c>
      <c r="C47" s="34"/>
      <c r="D47" s="34" t="s">
        <v>94</v>
      </c>
      <c r="E47" s="35">
        <v>45726.0</v>
      </c>
      <c r="F47" s="35"/>
      <c r="G47" s="64">
        <v>105.9175796168029</v>
      </c>
      <c r="H47" s="32"/>
      <c r="I47" s="32">
        <f t="shared" si="1"/>
        <v>0.8791159108</v>
      </c>
      <c r="J47" s="32">
        <f t="shared" si="2"/>
        <v>106.7966955</v>
      </c>
      <c r="K47" s="12"/>
      <c r="L47" s="32">
        <f t="shared" si="3"/>
        <v>106.7966955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30.0" customHeight="1">
      <c r="A48" s="41">
        <v>42.0</v>
      </c>
      <c r="B48" s="13" t="s">
        <v>125</v>
      </c>
      <c r="C48" s="13"/>
      <c r="D48" s="30" t="s">
        <v>94</v>
      </c>
      <c r="E48" s="14">
        <v>45423.0</v>
      </c>
      <c r="F48" s="14"/>
      <c r="G48" s="53">
        <v>110.97818102490912</v>
      </c>
      <c r="H48" s="32"/>
      <c r="I48" s="33">
        <v>0.0</v>
      </c>
      <c r="J48" s="33">
        <f t="shared" si="2"/>
        <v>110.978181</v>
      </c>
      <c r="K48" s="13">
        <v>110.98</v>
      </c>
      <c r="L48" s="33">
        <f t="shared" si="3"/>
        <v>-0.001818975091</v>
      </c>
      <c r="M48" s="19"/>
      <c r="N48" s="19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30.0" customHeight="1">
      <c r="A49" s="41">
        <v>43.0</v>
      </c>
      <c r="B49" s="54" t="s">
        <v>126</v>
      </c>
      <c r="C49" s="13"/>
      <c r="D49" s="30" t="s">
        <v>94</v>
      </c>
      <c r="E49" s="14">
        <v>45814.0</v>
      </c>
      <c r="F49" s="14"/>
      <c r="G49" s="53">
        <v>322.59902804909035</v>
      </c>
      <c r="H49" s="32">
        <v>10.0</v>
      </c>
      <c r="I49" s="33">
        <f t="shared" ref="I49:I72" si="4">G49*0.83%</f>
        <v>2.677571933</v>
      </c>
      <c r="J49" s="33">
        <f t="shared" si="2"/>
        <v>335.2766</v>
      </c>
      <c r="K49" s="13"/>
      <c r="L49" s="33">
        <f t="shared" si="3"/>
        <v>335.2766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41">
        <v>44.0</v>
      </c>
      <c r="B50" s="13" t="s">
        <v>127</v>
      </c>
      <c r="C50" s="13"/>
      <c r="D50" s="30" t="s">
        <v>94</v>
      </c>
      <c r="E50" s="14">
        <v>45420.0</v>
      </c>
      <c r="F50" s="14"/>
      <c r="G50" s="53">
        <v>44.53913729450106</v>
      </c>
      <c r="H50" s="32"/>
      <c r="I50" s="33">
        <f t="shared" si="4"/>
        <v>0.3696748395</v>
      </c>
      <c r="J50" s="33">
        <f t="shared" si="2"/>
        <v>44.90881213</v>
      </c>
      <c r="K50" s="13"/>
      <c r="L50" s="33">
        <f t="shared" si="3"/>
        <v>44.90881213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41">
        <v>45.0</v>
      </c>
      <c r="B51" s="13" t="s">
        <v>128</v>
      </c>
      <c r="C51" s="13"/>
      <c r="D51" s="30" t="s">
        <v>94</v>
      </c>
      <c r="E51" s="14">
        <v>45818.0</v>
      </c>
      <c r="F51" s="14"/>
      <c r="G51" s="53">
        <v>159.03639890259217</v>
      </c>
      <c r="H51" s="32">
        <v>10.0</v>
      </c>
      <c r="I51" s="33">
        <f t="shared" si="4"/>
        <v>1.320002111</v>
      </c>
      <c r="J51" s="33">
        <f t="shared" si="2"/>
        <v>170.356401</v>
      </c>
      <c r="K51" s="13"/>
      <c r="L51" s="33">
        <f t="shared" si="3"/>
        <v>170.356401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13" t="s">
        <v>129</v>
      </c>
      <c r="C52" s="13"/>
      <c r="D52" s="30" t="s">
        <v>94</v>
      </c>
      <c r="E52" s="14">
        <v>45818.0</v>
      </c>
      <c r="F52" s="14" t="s">
        <v>101</v>
      </c>
      <c r="G52" s="53">
        <v>1211.6197175705106</v>
      </c>
      <c r="H52" s="32">
        <v>10.0</v>
      </c>
      <c r="I52" s="33">
        <f t="shared" si="4"/>
        <v>10.05644366</v>
      </c>
      <c r="J52" s="33">
        <f t="shared" si="2"/>
        <v>1231.676161</v>
      </c>
      <c r="K52" s="13"/>
      <c r="L52" s="33">
        <f t="shared" si="3"/>
        <v>1231.676161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13" t="s">
        <v>132</v>
      </c>
      <c r="C53" s="13"/>
      <c r="D53" s="30" t="s">
        <v>94</v>
      </c>
      <c r="E53" s="14">
        <v>45420.0</v>
      </c>
      <c r="F53" s="14"/>
      <c r="G53" s="53">
        <v>16.609951116349038</v>
      </c>
      <c r="H53" s="32"/>
      <c r="I53" s="33">
        <f t="shared" si="4"/>
        <v>0.1378625943</v>
      </c>
      <c r="J53" s="33">
        <f t="shared" si="2"/>
        <v>16.74781371</v>
      </c>
      <c r="K53" s="13"/>
      <c r="L53" s="33">
        <f t="shared" si="3"/>
        <v>16.74781371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133</v>
      </c>
      <c r="C54" s="13"/>
      <c r="D54" s="30" t="s">
        <v>94</v>
      </c>
      <c r="E54" s="14">
        <v>45814.0</v>
      </c>
      <c r="F54" s="14"/>
      <c r="G54" s="59">
        <v>609.3717098344315</v>
      </c>
      <c r="H54" s="32">
        <v>20.0</v>
      </c>
      <c r="I54" s="33">
        <f t="shared" si="4"/>
        <v>5.057785192</v>
      </c>
      <c r="J54" s="33">
        <f t="shared" si="2"/>
        <v>634.429495</v>
      </c>
      <c r="K54" s="13"/>
      <c r="L54" s="33">
        <f t="shared" si="3"/>
        <v>634.429495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30" t="s">
        <v>134</v>
      </c>
      <c r="C55" s="13"/>
      <c r="D55" s="30" t="s">
        <v>94</v>
      </c>
      <c r="E55" s="14">
        <v>45390.0</v>
      </c>
      <c r="F55" s="14" t="s">
        <v>131</v>
      </c>
      <c r="G55" s="53">
        <v>22.177153094414642</v>
      </c>
      <c r="H55" s="32"/>
      <c r="I55" s="33">
        <f t="shared" si="4"/>
        <v>0.1840703707</v>
      </c>
      <c r="J55" s="33">
        <f t="shared" si="2"/>
        <v>22.36122347</v>
      </c>
      <c r="K55" s="13"/>
      <c r="L55" s="33">
        <f t="shared" si="3"/>
        <v>22.36122347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13" t="s">
        <v>135</v>
      </c>
      <c r="C56" s="13"/>
      <c r="D56" s="30" t="s">
        <v>94</v>
      </c>
      <c r="E56" s="14">
        <v>45818.0</v>
      </c>
      <c r="F56" s="14" t="s">
        <v>131</v>
      </c>
      <c r="G56" s="53">
        <v>251.53830810623742</v>
      </c>
      <c r="H56" s="32">
        <v>20.0</v>
      </c>
      <c r="I56" s="33">
        <f t="shared" si="4"/>
        <v>2.087767957</v>
      </c>
      <c r="J56" s="33">
        <f t="shared" si="2"/>
        <v>273.6260761</v>
      </c>
      <c r="K56" s="13"/>
      <c r="L56" s="33">
        <f t="shared" si="3"/>
        <v>273.6260761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136</v>
      </c>
      <c r="C57" s="13"/>
      <c r="D57" s="30" t="s">
        <v>94</v>
      </c>
      <c r="E57" s="14">
        <v>45390.0</v>
      </c>
      <c r="F57" s="14" t="s">
        <v>131</v>
      </c>
      <c r="G57" s="53">
        <v>22.177153094414642</v>
      </c>
      <c r="H57" s="32"/>
      <c r="I57" s="33">
        <f t="shared" si="4"/>
        <v>0.1840703707</v>
      </c>
      <c r="J57" s="33">
        <f t="shared" si="2"/>
        <v>22.36122347</v>
      </c>
      <c r="K57" s="13"/>
      <c r="L57" s="33">
        <f t="shared" si="3"/>
        <v>22.36122347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138</v>
      </c>
      <c r="C58" s="13"/>
      <c r="D58" s="30" t="s">
        <v>94</v>
      </c>
      <c r="E58" s="14">
        <v>45420.0</v>
      </c>
      <c r="F58" s="14"/>
      <c r="G58" s="53">
        <v>11.042749138283444</v>
      </c>
      <c r="H58" s="32"/>
      <c r="I58" s="33">
        <f t="shared" si="4"/>
        <v>0.09165481785</v>
      </c>
      <c r="J58" s="33">
        <f t="shared" si="2"/>
        <v>11.13440396</v>
      </c>
      <c r="K58" s="13"/>
      <c r="L58" s="33">
        <f t="shared" si="3"/>
        <v>11.13440396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142</v>
      </c>
      <c r="C59" s="13"/>
      <c r="D59" s="30" t="s">
        <v>94</v>
      </c>
      <c r="E59" s="14">
        <v>45791.0</v>
      </c>
      <c r="F59" s="14"/>
      <c r="G59" s="53">
        <v>87.6704148597853</v>
      </c>
      <c r="H59" s="32"/>
      <c r="I59" s="33">
        <f t="shared" si="4"/>
        <v>0.7276644433</v>
      </c>
      <c r="J59" s="33">
        <f t="shared" si="2"/>
        <v>88.3980793</v>
      </c>
      <c r="K59" s="13"/>
      <c r="L59" s="33">
        <f t="shared" si="3"/>
        <v>88.3980793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153</v>
      </c>
      <c r="C60" s="13" t="s">
        <v>93</v>
      </c>
      <c r="D60" s="30" t="s">
        <v>94</v>
      </c>
      <c r="E60" s="14">
        <v>45810.0</v>
      </c>
      <c r="F60" s="14"/>
      <c r="G60" s="53">
        <v>405.4330326840416</v>
      </c>
      <c r="H60" s="32">
        <v>100.0</v>
      </c>
      <c r="I60" s="33">
        <f t="shared" si="4"/>
        <v>3.365094171</v>
      </c>
      <c r="J60" s="33">
        <f t="shared" si="2"/>
        <v>508.7981269</v>
      </c>
      <c r="K60" s="13"/>
      <c r="L60" s="33">
        <f t="shared" si="3"/>
        <v>508.7981269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154</v>
      </c>
      <c r="C61" s="13"/>
      <c r="D61" s="30" t="s">
        <v>94</v>
      </c>
      <c r="E61" s="14">
        <v>45804.0</v>
      </c>
      <c r="F61" s="14"/>
      <c r="G61" s="32">
        <v>305.03192527873324</v>
      </c>
      <c r="H61" s="32"/>
      <c r="I61" s="33">
        <f t="shared" si="4"/>
        <v>2.53176498</v>
      </c>
      <c r="J61" s="33">
        <f t="shared" si="2"/>
        <v>307.5636903</v>
      </c>
      <c r="K61" s="13"/>
      <c r="L61" s="33">
        <f t="shared" si="3"/>
        <v>307.5636903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3" t="s">
        <v>155</v>
      </c>
      <c r="C62" s="13"/>
      <c r="D62" s="30" t="s">
        <v>94</v>
      </c>
      <c r="E62" s="14">
        <v>45726.0</v>
      </c>
      <c r="F62" s="14"/>
      <c r="G62" s="32">
        <v>112.93406554830162</v>
      </c>
      <c r="H62" s="32"/>
      <c r="I62" s="33">
        <f t="shared" si="4"/>
        <v>0.9373527441</v>
      </c>
      <c r="J62" s="33">
        <f t="shared" si="2"/>
        <v>113.8714183</v>
      </c>
      <c r="K62" s="13"/>
      <c r="L62" s="33">
        <f t="shared" si="3"/>
        <v>113.8714183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41">
        <v>57.0</v>
      </c>
      <c r="B63" s="13" t="s">
        <v>162</v>
      </c>
      <c r="C63" s="13"/>
      <c r="D63" s="30" t="s">
        <v>94</v>
      </c>
      <c r="E63" s="14">
        <v>45817.0</v>
      </c>
      <c r="F63" s="14"/>
      <c r="G63" s="32">
        <v>40.669534118938316</v>
      </c>
      <c r="H63" s="32">
        <v>20.0</v>
      </c>
      <c r="I63" s="33">
        <f t="shared" si="4"/>
        <v>0.3375571332</v>
      </c>
      <c r="J63" s="33">
        <f t="shared" si="2"/>
        <v>61.00709125</v>
      </c>
      <c r="K63" s="13"/>
      <c r="L63" s="33">
        <f t="shared" si="3"/>
        <v>61.00709125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157</v>
      </c>
      <c r="C64" s="13"/>
      <c r="D64" s="30" t="s">
        <v>94</v>
      </c>
      <c r="E64" s="14">
        <v>45813.0</v>
      </c>
      <c r="F64" s="14"/>
      <c r="G64" s="32">
        <v>20.335114368404163</v>
      </c>
      <c r="H64" s="32">
        <v>5.0</v>
      </c>
      <c r="I64" s="16">
        <f t="shared" si="4"/>
        <v>0.1687814493</v>
      </c>
      <c r="J64" s="33">
        <f t="shared" si="2"/>
        <v>25.50389582</v>
      </c>
      <c r="K64" s="13"/>
      <c r="L64" s="33">
        <f t="shared" si="3"/>
        <v>25.50389582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2" t="s">
        <v>159</v>
      </c>
      <c r="C65" s="12"/>
      <c r="D65" s="34" t="s">
        <v>94</v>
      </c>
      <c r="E65" s="22">
        <v>45810.0</v>
      </c>
      <c r="F65" s="22"/>
      <c r="G65" s="32">
        <v>202.50380658935003</v>
      </c>
      <c r="H65" s="32">
        <v>20.0</v>
      </c>
      <c r="I65" s="15">
        <f t="shared" si="4"/>
        <v>1.680781595</v>
      </c>
      <c r="J65" s="32">
        <f t="shared" si="2"/>
        <v>224.1845882</v>
      </c>
      <c r="K65" s="12"/>
      <c r="L65" s="32">
        <f t="shared" si="3"/>
        <v>224.1845882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30.0" customHeight="1">
      <c r="A66" s="41">
        <v>60.0</v>
      </c>
      <c r="B66" s="13" t="s">
        <v>160</v>
      </c>
      <c r="C66" s="13"/>
      <c r="D66" s="30" t="s">
        <v>94</v>
      </c>
      <c r="E66" s="14">
        <v>324.0</v>
      </c>
      <c r="F66" s="14"/>
      <c r="G66" s="32">
        <v>10.208880658935</v>
      </c>
      <c r="H66" s="32"/>
      <c r="I66" s="16">
        <f t="shared" si="4"/>
        <v>0.08473370947</v>
      </c>
      <c r="J66" s="33">
        <f t="shared" si="2"/>
        <v>10.29361437</v>
      </c>
      <c r="K66" s="13"/>
      <c r="L66" s="33">
        <f t="shared" si="3"/>
        <v>10.29361437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30.0" customHeight="1">
      <c r="A67" s="41">
        <v>61.0</v>
      </c>
      <c r="B67" s="13" t="s">
        <v>164</v>
      </c>
      <c r="C67" s="13"/>
      <c r="D67" s="30" t="s">
        <v>94</v>
      </c>
      <c r="E67" s="14">
        <v>45813.0</v>
      </c>
      <c r="F67" s="14"/>
      <c r="G67" s="32">
        <v>40.166</v>
      </c>
      <c r="H67" s="32">
        <v>20.0</v>
      </c>
      <c r="I67" s="16">
        <f t="shared" si="4"/>
        <v>0.3333778</v>
      </c>
      <c r="J67" s="33">
        <f t="shared" si="2"/>
        <v>60.4993778</v>
      </c>
      <c r="K67" s="13"/>
      <c r="L67" s="33">
        <f t="shared" si="3"/>
        <v>60.4993778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30.0" customHeight="1">
      <c r="A68" s="41">
        <v>62.0</v>
      </c>
      <c r="B68" s="13" t="s">
        <v>165</v>
      </c>
      <c r="C68" s="13"/>
      <c r="D68" s="30" t="s">
        <v>94</v>
      </c>
      <c r="E68" s="14">
        <v>45809.0</v>
      </c>
      <c r="F68" s="14"/>
      <c r="G68" s="32">
        <v>55.249</v>
      </c>
      <c r="H68" s="32">
        <v>25.0</v>
      </c>
      <c r="I68" s="16">
        <f t="shared" si="4"/>
        <v>0.4585667</v>
      </c>
      <c r="J68" s="33">
        <f t="shared" si="2"/>
        <v>80.7075667</v>
      </c>
      <c r="K68" s="13"/>
      <c r="L68" s="33">
        <f t="shared" si="3"/>
        <v>80.7075667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30.0" customHeight="1">
      <c r="A69" s="41">
        <v>63.0</v>
      </c>
      <c r="B69" s="13" t="s">
        <v>168</v>
      </c>
      <c r="C69" s="13"/>
      <c r="D69" s="30" t="s">
        <v>94</v>
      </c>
      <c r="E69" s="14">
        <v>45814.0</v>
      </c>
      <c r="F69" s="14"/>
      <c r="G69" s="32"/>
      <c r="H69" s="32">
        <v>30.0</v>
      </c>
      <c r="I69" s="16">
        <f t="shared" si="4"/>
        <v>0</v>
      </c>
      <c r="J69" s="33">
        <f t="shared" si="2"/>
        <v>30</v>
      </c>
      <c r="K69" s="13"/>
      <c r="L69" s="33">
        <f t="shared" si="3"/>
        <v>30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30.0" customHeight="1">
      <c r="A70" s="41">
        <v>64.0</v>
      </c>
      <c r="B70" s="13" t="s">
        <v>169</v>
      </c>
      <c r="C70" s="13"/>
      <c r="D70" s="30" t="s">
        <v>94</v>
      </c>
      <c r="E70" s="14">
        <v>45814.0</v>
      </c>
      <c r="F70" s="14"/>
      <c r="G70" s="32"/>
      <c r="H70" s="32">
        <v>30.0</v>
      </c>
      <c r="I70" s="16">
        <f t="shared" si="4"/>
        <v>0</v>
      </c>
      <c r="J70" s="33">
        <f t="shared" si="2"/>
        <v>30</v>
      </c>
      <c r="K70" s="13"/>
      <c r="L70" s="33">
        <f t="shared" si="3"/>
        <v>30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30.0" customHeight="1">
      <c r="A71" s="41">
        <v>65.0</v>
      </c>
      <c r="B71" s="13" t="s">
        <v>170</v>
      </c>
      <c r="C71" s="13"/>
      <c r="D71" s="30" t="s">
        <v>94</v>
      </c>
      <c r="E71" s="14">
        <v>45814.0</v>
      </c>
      <c r="F71" s="14"/>
      <c r="G71" s="32"/>
      <c r="H71" s="32">
        <v>20.0</v>
      </c>
      <c r="I71" s="16">
        <f t="shared" si="4"/>
        <v>0</v>
      </c>
      <c r="J71" s="33">
        <f t="shared" si="2"/>
        <v>20</v>
      </c>
      <c r="K71" s="13"/>
      <c r="L71" s="33">
        <f t="shared" si="3"/>
        <v>20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30.0" customHeight="1">
      <c r="A72" s="41">
        <v>66.0</v>
      </c>
      <c r="B72" s="13" t="s">
        <v>171</v>
      </c>
      <c r="C72" s="13"/>
      <c r="D72" s="30" t="s">
        <v>94</v>
      </c>
      <c r="E72" s="14">
        <v>45817.0</v>
      </c>
      <c r="F72" s="14"/>
      <c r="G72" s="32"/>
      <c r="H72" s="32">
        <v>20.0</v>
      </c>
      <c r="I72" s="16">
        <f t="shared" si="4"/>
        <v>0</v>
      </c>
      <c r="J72" s="33">
        <f t="shared" si="2"/>
        <v>20</v>
      </c>
      <c r="K72" s="13"/>
      <c r="L72" s="33">
        <f t="shared" si="3"/>
        <v>20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0" customHeight="1">
      <c r="A73" s="17"/>
      <c r="B73" s="13"/>
      <c r="C73" s="13"/>
      <c r="D73" s="13"/>
      <c r="E73" s="13"/>
      <c r="F73" s="13"/>
      <c r="G73" s="55">
        <f t="shared" ref="G73:L73" si="5">SUM(G7:G72)</f>
        <v>53370.61282</v>
      </c>
      <c r="H73" s="18">
        <f t="shared" si="5"/>
        <v>993.72</v>
      </c>
      <c r="I73" s="18">
        <f t="shared" si="5"/>
        <v>442.0549675</v>
      </c>
      <c r="J73" s="18">
        <f t="shared" si="5"/>
        <v>54806.38779</v>
      </c>
      <c r="K73" s="55">
        <f t="shared" si="5"/>
        <v>110.98</v>
      </c>
      <c r="L73" s="18">
        <f t="shared" si="5"/>
        <v>54695.40779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6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21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73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172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/>
      <c r="F7" s="31"/>
      <c r="G7" s="52">
        <v>5037.748805499502</v>
      </c>
      <c r="H7" s="32"/>
      <c r="I7" s="33">
        <f t="shared" ref="I7:I47" si="1">G7*0.83%</f>
        <v>41.81331509</v>
      </c>
      <c r="J7" s="33">
        <f t="shared" ref="J7:J78" si="2">G7+H7+I7</f>
        <v>5079.562121</v>
      </c>
      <c r="K7" s="30"/>
      <c r="L7" s="33">
        <f t="shared" ref="L7:L78" si="3">J7-K7</f>
        <v>5079.562121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5">
        <v>45849.0</v>
      </c>
      <c r="F8" s="31"/>
      <c r="G8" s="52">
        <v>8572.509658816953</v>
      </c>
      <c r="H8" s="32">
        <v>30.0</v>
      </c>
      <c r="I8" s="33">
        <f t="shared" si="1"/>
        <v>71.15183017</v>
      </c>
      <c r="J8" s="33">
        <f t="shared" si="2"/>
        <v>8673.661489</v>
      </c>
      <c r="K8" s="30"/>
      <c r="L8" s="33">
        <f t="shared" si="3"/>
        <v>8673.661489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5">
        <v>45849.0</v>
      </c>
      <c r="F9" s="31"/>
      <c r="G9" s="52">
        <v>8589.15978558943</v>
      </c>
      <c r="H9" s="32">
        <v>50.0</v>
      </c>
      <c r="I9" s="33">
        <f t="shared" si="1"/>
        <v>71.29002622</v>
      </c>
      <c r="J9" s="33">
        <f t="shared" si="2"/>
        <v>8710.449812</v>
      </c>
      <c r="K9" s="30"/>
      <c r="L9" s="33">
        <f t="shared" si="3"/>
        <v>8710.449812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/>
      <c r="F10" s="35"/>
      <c r="G10" s="52">
        <v>215.1552631092057</v>
      </c>
      <c r="H10" s="32"/>
      <c r="I10" s="32">
        <f t="shared" si="1"/>
        <v>1.785788684</v>
      </c>
      <c r="J10" s="33">
        <f t="shared" si="2"/>
        <v>216.9410518</v>
      </c>
      <c r="K10" s="51"/>
      <c r="L10" s="32">
        <f t="shared" si="3"/>
        <v>216.9410518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36</v>
      </c>
      <c r="C11" s="34" t="s">
        <v>91</v>
      </c>
      <c r="D11" s="34" t="s">
        <v>92</v>
      </c>
      <c r="E11" s="35"/>
      <c r="F11" s="35"/>
      <c r="G11" s="52">
        <v>664.9410860157042</v>
      </c>
      <c r="H11" s="32"/>
      <c r="I11" s="32">
        <f t="shared" si="1"/>
        <v>5.519011014</v>
      </c>
      <c r="J11" s="33">
        <f t="shared" si="2"/>
        <v>670.460097</v>
      </c>
      <c r="K11" s="34"/>
      <c r="L11" s="32">
        <f t="shared" si="3"/>
        <v>670.460097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37</v>
      </c>
      <c r="C12" s="34" t="s">
        <v>91</v>
      </c>
      <c r="D12" s="34" t="s">
        <v>92</v>
      </c>
      <c r="E12" s="35">
        <v>45844.0</v>
      </c>
      <c r="F12" s="35"/>
      <c r="G12" s="52">
        <v>614.0365416881076</v>
      </c>
      <c r="H12" s="32">
        <v>50.0</v>
      </c>
      <c r="I12" s="32">
        <f t="shared" si="1"/>
        <v>5.096503296</v>
      </c>
      <c r="J12" s="33">
        <f t="shared" si="2"/>
        <v>669.133045</v>
      </c>
      <c r="K12" s="34"/>
      <c r="L12" s="32">
        <f t="shared" si="3"/>
        <v>669.133045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45848.0</v>
      </c>
      <c r="F13" s="35"/>
      <c r="G13" s="52">
        <v>8464.353971380204</v>
      </c>
      <c r="H13" s="32">
        <v>57.04</v>
      </c>
      <c r="I13" s="32">
        <f t="shared" si="1"/>
        <v>70.25413796</v>
      </c>
      <c r="J13" s="33">
        <f t="shared" si="2"/>
        <v>8591.648109</v>
      </c>
      <c r="K13" s="34"/>
      <c r="L13" s="32">
        <f t="shared" si="3"/>
        <v>8591.648109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41">
        <v>8.0</v>
      </c>
      <c r="B14" s="34" t="s">
        <v>173</v>
      </c>
      <c r="C14" s="34" t="s">
        <v>91</v>
      </c>
      <c r="D14" s="34" t="s">
        <v>92</v>
      </c>
      <c r="E14" s="35">
        <v>45842.0</v>
      </c>
      <c r="F14" s="35"/>
      <c r="G14" s="52">
        <v>2349.5275506557196</v>
      </c>
      <c r="H14" s="32">
        <v>50.0</v>
      </c>
      <c r="I14" s="32">
        <f t="shared" si="1"/>
        <v>19.50107867</v>
      </c>
      <c r="J14" s="33">
        <f t="shared" si="2"/>
        <v>2419.028629</v>
      </c>
      <c r="K14" s="51"/>
      <c r="L14" s="32">
        <f t="shared" si="3"/>
        <v>2419.028629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41">
        <v>9.0</v>
      </c>
      <c r="B15" s="34" t="s">
        <v>174</v>
      </c>
      <c r="C15" s="30" t="s">
        <v>91</v>
      </c>
      <c r="D15" s="30" t="s">
        <v>94</v>
      </c>
      <c r="E15" s="35">
        <v>45843.0</v>
      </c>
      <c r="F15" s="31"/>
      <c r="G15" s="52">
        <v>4066.003344925574</v>
      </c>
      <c r="H15" s="32">
        <v>20.0</v>
      </c>
      <c r="I15" s="33">
        <f t="shared" si="1"/>
        <v>33.74782776</v>
      </c>
      <c r="J15" s="33">
        <f t="shared" si="2"/>
        <v>4119.751173</v>
      </c>
      <c r="K15" s="30"/>
      <c r="L15" s="33">
        <f t="shared" si="3"/>
        <v>4119.751173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41">
        <v>10.0</v>
      </c>
      <c r="B16" s="30" t="s">
        <v>49</v>
      </c>
      <c r="C16" s="30" t="s">
        <v>91</v>
      </c>
      <c r="D16" s="30" t="s">
        <v>94</v>
      </c>
      <c r="E16" s="35">
        <v>45846.0</v>
      </c>
      <c r="F16" s="31" t="s">
        <v>38</v>
      </c>
      <c r="G16" s="52">
        <v>237.5843507645931</v>
      </c>
      <c r="H16" s="32">
        <v>10.0</v>
      </c>
      <c r="I16" s="33">
        <f t="shared" si="1"/>
        <v>1.971950111</v>
      </c>
      <c r="J16" s="33">
        <f t="shared" si="2"/>
        <v>249.5563009</v>
      </c>
      <c r="K16" s="30"/>
      <c r="L16" s="33">
        <f t="shared" si="3"/>
        <v>249.5563009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5">
        <v>45846.0</v>
      </c>
      <c r="F17" s="31" t="s">
        <v>39</v>
      </c>
      <c r="G17" s="52">
        <v>486.0843821380341</v>
      </c>
      <c r="H17" s="32">
        <v>20.0</v>
      </c>
      <c r="I17" s="33">
        <f t="shared" si="1"/>
        <v>4.034500372</v>
      </c>
      <c r="J17" s="33">
        <f t="shared" si="2"/>
        <v>510.1188825</v>
      </c>
      <c r="K17" s="30"/>
      <c r="L17" s="33">
        <f t="shared" si="3"/>
        <v>510.1188825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1"/>
      <c r="F18" s="31" t="s">
        <v>34</v>
      </c>
      <c r="G18" s="52">
        <v>118.77029744967938</v>
      </c>
      <c r="H18" s="32"/>
      <c r="I18" s="33">
        <f t="shared" si="1"/>
        <v>0.9857934688</v>
      </c>
      <c r="J18" s="33">
        <f t="shared" si="2"/>
        <v>119.7560909</v>
      </c>
      <c r="K18" s="30"/>
      <c r="L18" s="33">
        <f t="shared" si="3"/>
        <v>119.7560909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1"/>
      <c r="F19" s="31" t="s">
        <v>38</v>
      </c>
      <c r="G19" s="52">
        <v>94.01447600803951</v>
      </c>
      <c r="H19" s="32"/>
      <c r="I19" s="33">
        <f t="shared" si="1"/>
        <v>0.7803201509</v>
      </c>
      <c r="J19" s="33">
        <f t="shared" si="2"/>
        <v>94.79479616</v>
      </c>
      <c r="K19" s="30"/>
      <c r="L19" s="33">
        <f t="shared" si="3"/>
        <v>94.79479616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5">
        <v>45846.0</v>
      </c>
      <c r="F20" s="31" t="s">
        <v>38</v>
      </c>
      <c r="G20" s="52">
        <v>297.80938358872805</v>
      </c>
      <c r="H20" s="32">
        <v>20.0</v>
      </c>
      <c r="I20" s="32">
        <f t="shared" si="1"/>
        <v>2.471817884</v>
      </c>
      <c r="J20" s="33">
        <f t="shared" si="2"/>
        <v>320.2812015</v>
      </c>
      <c r="K20" s="34"/>
      <c r="L20" s="32">
        <f t="shared" si="3"/>
        <v>320.2812015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5">
        <v>45848.0</v>
      </c>
      <c r="F21" s="35" t="s">
        <v>34</v>
      </c>
      <c r="G21" s="52">
        <v>2572.9622991119954</v>
      </c>
      <c r="H21" s="32">
        <v>100.0</v>
      </c>
      <c r="I21" s="33">
        <f t="shared" si="1"/>
        <v>21.35558708</v>
      </c>
      <c r="J21" s="33">
        <f t="shared" si="2"/>
        <v>2694.317886</v>
      </c>
      <c r="K21" s="30"/>
      <c r="L21" s="33">
        <f t="shared" si="3"/>
        <v>2694.317886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1"/>
      <c r="F22" s="31" t="s">
        <v>33</v>
      </c>
      <c r="G22" s="52">
        <v>320.5302437775914</v>
      </c>
      <c r="H22" s="32"/>
      <c r="I22" s="33">
        <f t="shared" si="1"/>
        <v>2.660401023</v>
      </c>
      <c r="J22" s="33">
        <f t="shared" si="2"/>
        <v>323.1906448</v>
      </c>
      <c r="K22" s="30"/>
      <c r="L22" s="33">
        <f t="shared" si="3"/>
        <v>323.1906448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5">
        <v>45847.0</v>
      </c>
      <c r="F23" s="31" t="s">
        <v>38</v>
      </c>
      <c r="G23" s="52">
        <v>30.2496889</v>
      </c>
      <c r="H23" s="32">
        <v>10.0</v>
      </c>
      <c r="I23" s="32">
        <f t="shared" si="1"/>
        <v>0.2510724179</v>
      </c>
      <c r="J23" s="33">
        <f t="shared" si="2"/>
        <v>40.50076132</v>
      </c>
      <c r="K23" s="34"/>
      <c r="L23" s="32">
        <f t="shared" si="3"/>
        <v>40.50076132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41">
        <v>18.0</v>
      </c>
      <c r="B24" s="34" t="s">
        <v>41</v>
      </c>
      <c r="C24" s="34" t="s">
        <v>91</v>
      </c>
      <c r="D24" s="30" t="s">
        <v>94</v>
      </c>
      <c r="E24" s="35"/>
      <c r="F24" s="35" t="s">
        <v>34</v>
      </c>
      <c r="G24" s="52">
        <v>392.42376810914436</v>
      </c>
      <c r="H24" s="32"/>
      <c r="I24" s="33">
        <f t="shared" si="1"/>
        <v>3.257117275</v>
      </c>
      <c r="J24" s="33">
        <f t="shared" si="2"/>
        <v>395.6808854</v>
      </c>
      <c r="K24" s="30"/>
      <c r="L24" s="33">
        <f t="shared" si="3"/>
        <v>395.6808854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1">
        <v>45842.0</v>
      </c>
      <c r="F25" s="31" t="s">
        <v>39</v>
      </c>
      <c r="G25" s="52">
        <v>805.588783144426</v>
      </c>
      <c r="H25" s="32">
        <v>20.0</v>
      </c>
      <c r="I25" s="33">
        <f t="shared" si="1"/>
        <v>6.6863869</v>
      </c>
      <c r="J25" s="33">
        <f t="shared" si="2"/>
        <v>832.27517</v>
      </c>
      <c r="K25" s="30"/>
      <c r="L25" s="33">
        <f t="shared" si="3"/>
        <v>832.27517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/>
      <c r="F26" s="31" t="s">
        <v>34</v>
      </c>
      <c r="G26" s="52">
        <v>88.07309402330014</v>
      </c>
      <c r="H26" s="32"/>
      <c r="I26" s="32">
        <f t="shared" si="1"/>
        <v>0.7310066804</v>
      </c>
      <c r="J26" s="33">
        <f t="shared" si="2"/>
        <v>88.8041007</v>
      </c>
      <c r="K26" s="34"/>
      <c r="L26" s="32">
        <f t="shared" si="3"/>
        <v>88.8041007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/>
      <c r="F27" s="35" t="s">
        <v>38</v>
      </c>
      <c r="G27" s="52">
        <v>129.2790738212866</v>
      </c>
      <c r="H27" s="32"/>
      <c r="I27" s="33">
        <f t="shared" si="1"/>
        <v>1.073016313</v>
      </c>
      <c r="J27" s="33">
        <f t="shared" si="2"/>
        <v>130.3520901</v>
      </c>
      <c r="K27" s="30"/>
      <c r="L27" s="33">
        <f t="shared" si="3"/>
        <v>130.3520901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/>
      <c r="F28" s="31" t="s">
        <v>38</v>
      </c>
      <c r="G28" s="52">
        <v>152.20391315871038</v>
      </c>
      <c r="H28" s="32"/>
      <c r="I28" s="33">
        <f t="shared" si="1"/>
        <v>1.263292479</v>
      </c>
      <c r="J28" s="33">
        <f t="shared" si="2"/>
        <v>153.4672056</v>
      </c>
      <c r="K28" s="30"/>
      <c r="L28" s="33">
        <f t="shared" si="3"/>
        <v>153.4672056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5">
        <v>45849.0</v>
      </c>
      <c r="F29" s="31" t="s">
        <v>39</v>
      </c>
      <c r="G29" s="52">
        <v>1200.59862156589</v>
      </c>
      <c r="H29" s="32">
        <v>55.42</v>
      </c>
      <c r="I29" s="33">
        <f t="shared" si="1"/>
        <v>9.964968559</v>
      </c>
      <c r="J29" s="33">
        <f t="shared" si="2"/>
        <v>1265.98359</v>
      </c>
      <c r="K29" s="30"/>
      <c r="L29" s="33">
        <f t="shared" si="3"/>
        <v>1265.98359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/>
      <c r="F30" s="31" t="s">
        <v>40</v>
      </c>
      <c r="G30" s="52">
        <v>717.5633554862735</v>
      </c>
      <c r="H30" s="32"/>
      <c r="I30" s="33">
        <f t="shared" si="1"/>
        <v>5.955775851</v>
      </c>
      <c r="J30" s="33">
        <f t="shared" si="2"/>
        <v>723.5191313</v>
      </c>
      <c r="K30" s="30"/>
      <c r="L30" s="33">
        <f t="shared" si="3"/>
        <v>723.5191313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/>
      <c r="F31" s="31" t="s">
        <v>39</v>
      </c>
      <c r="G31" s="52">
        <v>47.13770755823214</v>
      </c>
      <c r="H31" s="32"/>
      <c r="I31" s="33">
        <f t="shared" si="1"/>
        <v>0.3912429727</v>
      </c>
      <c r="J31" s="33">
        <f t="shared" si="2"/>
        <v>47.52895053</v>
      </c>
      <c r="K31" s="30"/>
      <c r="L31" s="33">
        <f t="shared" si="3"/>
        <v>47.52895053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/>
      <c r="F32" s="31" t="s">
        <v>33</v>
      </c>
      <c r="G32" s="52">
        <v>72.27926553748493</v>
      </c>
      <c r="H32" s="32"/>
      <c r="I32" s="33">
        <f t="shared" si="1"/>
        <v>0.599917904</v>
      </c>
      <c r="J32" s="33">
        <f t="shared" si="2"/>
        <v>72.87918344</v>
      </c>
      <c r="K32" s="30"/>
      <c r="L32" s="33">
        <f t="shared" si="3"/>
        <v>72.87918344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/>
      <c r="F33" s="31" t="s">
        <v>38</v>
      </c>
      <c r="G33" s="52">
        <v>243.88073414878008</v>
      </c>
      <c r="H33" s="32"/>
      <c r="I33" s="33">
        <f t="shared" si="1"/>
        <v>2.024210093</v>
      </c>
      <c r="J33" s="33">
        <f t="shared" si="2"/>
        <v>245.9049442</v>
      </c>
      <c r="K33" s="30"/>
      <c r="L33" s="33">
        <f t="shared" si="3"/>
        <v>245.9049442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/>
      <c r="F34" s="31" t="s">
        <v>39</v>
      </c>
      <c r="G34" s="52">
        <v>74.26312967566123</v>
      </c>
      <c r="H34" s="32"/>
      <c r="I34" s="33">
        <f t="shared" si="1"/>
        <v>0.6163839763</v>
      </c>
      <c r="J34" s="33">
        <f t="shared" si="2"/>
        <v>74.87951365</v>
      </c>
      <c r="K34" s="30"/>
      <c r="L34" s="33">
        <f t="shared" si="3"/>
        <v>74.87951365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5">
        <v>45849.0</v>
      </c>
      <c r="F35" s="31"/>
      <c r="G35" s="52">
        <v>2002.8528390893034</v>
      </c>
      <c r="H35" s="32">
        <v>50.0</v>
      </c>
      <c r="I35" s="33">
        <f t="shared" si="1"/>
        <v>16.62367856</v>
      </c>
      <c r="J35" s="33">
        <f t="shared" si="2"/>
        <v>2069.476518</v>
      </c>
      <c r="K35" s="30"/>
      <c r="L35" s="33">
        <f t="shared" si="3"/>
        <v>2069.476518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102</v>
      </c>
      <c r="C36" s="30"/>
      <c r="D36" s="30" t="s">
        <v>94</v>
      </c>
      <c r="E36" s="31"/>
      <c r="F36" s="31"/>
      <c r="G36" s="52">
        <v>17.60015663856267</v>
      </c>
      <c r="H36" s="32"/>
      <c r="I36" s="33">
        <f t="shared" si="1"/>
        <v>0.1460813001</v>
      </c>
      <c r="J36" s="33">
        <f t="shared" si="2"/>
        <v>17.74623794</v>
      </c>
      <c r="K36" s="30"/>
      <c r="L36" s="33">
        <f t="shared" si="3"/>
        <v>17.74623794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41">
        <v>31.0</v>
      </c>
      <c r="B37" s="30" t="s">
        <v>104</v>
      </c>
      <c r="C37" s="30" t="s">
        <v>93</v>
      </c>
      <c r="D37" s="30" t="s">
        <v>94</v>
      </c>
      <c r="E37" s="35">
        <v>45846.0</v>
      </c>
      <c r="F37" s="31"/>
      <c r="G37" s="52">
        <v>339.6574740656682</v>
      </c>
      <c r="H37" s="32">
        <v>20.0</v>
      </c>
      <c r="I37" s="33">
        <f t="shared" si="1"/>
        <v>2.819157035</v>
      </c>
      <c r="J37" s="33">
        <f t="shared" si="2"/>
        <v>362.4766311</v>
      </c>
      <c r="K37" s="30"/>
      <c r="L37" s="33">
        <f t="shared" si="3"/>
        <v>362.4766311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41">
        <v>32.0</v>
      </c>
      <c r="B38" s="34" t="s">
        <v>106</v>
      </c>
      <c r="C38" s="34"/>
      <c r="D38" s="34" t="s">
        <v>94</v>
      </c>
      <c r="E38" s="35">
        <v>45843.0</v>
      </c>
      <c r="F38" s="35"/>
      <c r="G38" s="52">
        <v>283.8646045945142</v>
      </c>
      <c r="H38" s="32">
        <v>20.0</v>
      </c>
      <c r="I38" s="32">
        <f t="shared" si="1"/>
        <v>2.356076218</v>
      </c>
      <c r="J38" s="32">
        <f t="shared" si="2"/>
        <v>306.2206808</v>
      </c>
      <c r="K38" s="34"/>
      <c r="L38" s="32">
        <f t="shared" si="3"/>
        <v>306.2206808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175</v>
      </c>
      <c r="C39" s="34"/>
      <c r="D39" s="34" t="s">
        <v>94</v>
      </c>
      <c r="E39" s="35">
        <v>45848.0</v>
      </c>
      <c r="F39" s="35"/>
      <c r="G39" s="52">
        <v>552.7466839191512</v>
      </c>
      <c r="H39" s="32">
        <v>50.0</v>
      </c>
      <c r="I39" s="32">
        <f t="shared" si="1"/>
        <v>4.587797477</v>
      </c>
      <c r="J39" s="32">
        <f t="shared" si="2"/>
        <v>607.3344814</v>
      </c>
      <c r="K39" s="34"/>
      <c r="L39" s="32">
        <f t="shared" si="3"/>
        <v>607.3344814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108</v>
      </c>
      <c r="C40" s="34"/>
      <c r="D40" s="34" t="s">
        <v>94</v>
      </c>
      <c r="E40" s="35"/>
      <c r="F40" s="35"/>
      <c r="G40" s="52">
        <v>63.54641949754725</v>
      </c>
      <c r="H40" s="32"/>
      <c r="I40" s="32">
        <f t="shared" si="1"/>
        <v>0.5274352818</v>
      </c>
      <c r="J40" s="33">
        <f t="shared" si="2"/>
        <v>64.07385478</v>
      </c>
      <c r="K40" s="34"/>
      <c r="L40" s="32">
        <f t="shared" si="3"/>
        <v>64.07385478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111</v>
      </c>
      <c r="C41" s="34"/>
      <c r="D41" s="34" t="s">
        <v>94</v>
      </c>
      <c r="E41" s="35"/>
      <c r="F41" s="35"/>
      <c r="G41" s="52">
        <v>58.61492720557095</v>
      </c>
      <c r="H41" s="32"/>
      <c r="I41" s="32">
        <f t="shared" si="1"/>
        <v>0.4865038958</v>
      </c>
      <c r="J41" s="33">
        <f t="shared" si="2"/>
        <v>59.1014311</v>
      </c>
      <c r="K41" s="34"/>
      <c r="L41" s="32">
        <f t="shared" si="3"/>
        <v>59.1014311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4" t="s">
        <v>112</v>
      </c>
      <c r="C42" s="34"/>
      <c r="D42" s="34" t="s">
        <v>94</v>
      </c>
      <c r="E42" s="35"/>
      <c r="F42" s="35"/>
      <c r="G42" s="52">
        <v>23.498176678196867</v>
      </c>
      <c r="H42" s="32"/>
      <c r="I42" s="32">
        <f t="shared" si="1"/>
        <v>0.1950348664</v>
      </c>
      <c r="J42" s="33">
        <f t="shared" si="2"/>
        <v>23.69321154</v>
      </c>
      <c r="K42" s="34"/>
      <c r="L42" s="32">
        <f t="shared" si="3"/>
        <v>23.69321154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41">
        <v>37.0</v>
      </c>
      <c r="B43" s="34" t="s">
        <v>116</v>
      </c>
      <c r="C43" s="34"/>
      <c r="D43" s="34" t="s">
        <v>94</v>
      </c>
      <c r="E43" s="35"/>
      <c r="F43" s="35"/>
      <c r="G43" s="52">
        <v>11.50869398087773</v>
      </c>
      <c r="H43" s="32"/>
      <c r="I43" s="32">
        <f t="shared" si="1"/>
        <v>0.09552216004</v>
      </c>
      <c r="J43" s="33">
        <f t="shared" si="2"/>
        <v>11.60421614</v>
      </c>
      <c r="K43" s="34"/>
      <c r="L43" s="32">
        <f t="shared" si="3"/>
        <v>11.60421614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118</v>
      </c>
      <c r="C44" s="30"/>
      <c r="D44" s="30" t="s">
        <v>94</v>
      </c>
      <c r="E44" s="31"/>
      <c r="F44" s="31"/>
      <c r="G44" s="52">
        <v>23.01738796175546</v>
      </c>
      <c r="H44" s="32"/>
      <c r="I44" s="33">
        <f t="shared" si="1"/>
        <v>0.1910443201</v>
      </c>
      <c r="J44" s="33">
        <f t="shared" si="2"/>
        <v>23.20843228</v>
      </c>
      <c r="K44" s="30"/>
      <c r="L44" s="33">
        <f t="shared" si="3"/>
        <v>23.20843228</v>
      </c>
      <c r="M44" s="4">
        <f>210.72+106.7</f>
        <v>317.42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0" t="s">
        <v>176</v>
      </c>
      <c r="C45" s="34"/>
      <c r="D45" s="34" t="s">
        <v>94</v>
      </c>
      <c r="E45" s="35">
        <v>45842.0</v>
      </c>
      <c r="F45" s="35"/>
      <c r="G45" s="32">
        <v>201.8533591418956</v>
      </c>
      <c r="H45" s="32">
        <v>20.0</v>
      </c>
      <c r="I45" s="32">
        <f t="shared" si="1"/>
        <v>1.675382881</v>
      </c>
      <c r="J45" s="32">
        <f t="shared" si="2"/>
        <v>223.528742</v>
      </c>
      <c r="K45" s="34"/>
      <c r="L45" s="32">
        <f t="shared" si="3"/>
        <v>223.528742</v>
      </c>
      <c r="M45" s="65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41">
        <v>40.0</v>
      </c>
      <c r="B46" s="30" t="s">
        <v>121</v>
      </c>
      <c r="C46" s="30"/>
      <c r="D46" s="30" t="s">
        <v>94</v>
      </c>
      <c r="E46" s="31"/>
      <c r="F46" s="31"/>
      <c r="G46" s="52">
        <v>11.413958128411911</v>
      </c>
      <c r="H46" s="32"/>
      <c r="I46" s="33">
        <f t="shared" si="1"/>
        <v>0.09473585247</v>
      </c>
      <c r="J46" s="33">
        <f t="shared" si="2"/>
        <v>11.50869398</v>
      </c>
      <c r="K46" s="30"/>
      <c r="L46" s="33">
        <f t="shared" si="3"/>
        <v>11.50869398</v>
      </c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41">
        <v>41.0</v>
      </c>
      <c r="B47" s="34" t="s">
        <v>161</v>
      </c>
      <c r="C47" s="34"/>
      <c r="D47" s="34" t="s">
        <v>94</v>
      </c>
      <c r="E47" s="35"/>
      <c r="F47" s="35"/>
      <c r="G47" s="64">
        <v>106.79669552762236</v>
      </c>
      <c r="H47" s="32"/>
      <c r="I47" s="32">
        <f t="shared" si="1"/>
        <v>0.8864125729</v>
      </c>
      <c r="J47" s="32">
        <f t="shared" si="2"/>
        <v>107.6831081</v>
      </c>
      <c r="K47" s="12"/>
      <c r="L47" s="32">
        <f t="shared" si="3"/>
        <v>107.6831081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30.0" customHeight="1">
      <c r="A48" s="66">
        <v>42.0</v>
      </c>
      <c r="B48" s="67" t="s">
        <v>125</v>
      </c>
      <c r="C48" s="67"/>
      <c r="D48" s="68" t="s">
        <v>94</v>
      </c>
      <c r="E48" s="69"/>
      <c r="F48" s="69"/>
      <c r="G48" s="70">
        <v>-0.001818975090884578</v>
      </c>
      <c r="H48" s="71"/>
      <c r="I48" s="72">
        <v>0.0</v>
      </c>
      <c r="J48" s="73">
        <f t="shared" si="2"/>
        <v>-0.001818975091</v>
      </c>
      <c r="K48" s="67"/>
      <c r="L48" s="72">
        <f t="shared" si="3"/>
        <v>-0.001818975091</v>
      </c>
      <c r="M48" s="74"/>
      <c r="N48" s="74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</row>
    <row r="49" ht="30.0" customHeight="1">
      <c r="A49" s="41">
        <v>43.0</v>
      </c>
      <c r="B49" s="54" t="s">
        <v>126</v>
      </c>
      <c r="C49" s="13"/>
      <c r="D49" s="30" t="s">
        <v>94</v>
      </c>
      <c r="E49" s="35">
        <v>45843.0</v>
      </c>
      <c r="F49" s="14"/>
      <c r="G49" s="53">
        <v>335.2765999818978</v>
      </c>
      <c r="H49" s="32">
        <v>5.0</v>
      </c>
      <c r="I49" s="33">
        <f t="shared" ref="I49:I78" si="4">G49*0.83%</f>
        <v>2.78279578</v>
      </c>
      <c r="J49" s="33">
        <f t="shared" si="2"/>
        <v>343.0593958</v>
      </c>
      <c r="K49" s="13"/>
      <c r="L49" s="33">
        <f t="shared" si="3"/>
        <v>343.0593958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41">
        <v>44.0</v>
      </c>
      <c r="B50" s="13" t="s">
        <v>127</v>
      </c>
      <c r="C50" s="13"/>
      <c r="D50" s="30" t="s">
        <v>94</v>
      </c>
      <c r="E50" s="14"/>
      <c r="F50" s="14"/>
      <c r="G50" s="53">
        <v>44.90881213404542</v>
      </c>
      <c r="H50" s="32"/>
      <c r="I50" s="33">
        <f t="shared" si="4"/>
        <v>0.3727431407</v>
      </c>
      <c r="J50" s="33">
        <f t="shared" si="2"/>
        <v>45.28155527</v>
      </c>
      <c r="K50" s="13"/>
      <c r="L50" s="33">
        <f t="shared" si="3"/>
        <v>45.28155527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41">
        <v>45.0</v>
      </c>
      <c r="B51" s="13" t="s">
        <v>128</v>
      </c>
      <c r="C51" s="13"/>
      <c r="D51" s="30" t="s">
        <v>94</v>
      </c>
      <c r="E51" s="14">
        <v>45840.0</v>
      </c>
      <c r="F51" s="14"/>
      <c r="G51" s="53">
        <v>170.3564010134837</v>
      </c>
      <c r="H51" s="32">
        <v>10.0</v>
      </c>
      <c r="I51" s="33">
        <f t="shared" si="4"/>
        <v>1.413958128</v>
      </c>
      <c r="J51" s="33">
        <f t="shared" si="2"/>
        <v>181.7703591</v>
      </c>
      <c r="K51" s="13"/>
      <c r="L51" s="33">
        <f t="shared" si="3"/>
        <v>181.7703591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13" t="s">
        <v>177</v>
      </c>
      <c r="C52" s="13"/>
      <c r="D52" s="30" t="s">
        <v>94</v>
      </c>
      <c r="E52" s="14">
        <v>45848.0</v>
      </c>
      <c r="F52" s="14" t="s">
        <v>101</v>
      </c>
      <c r="G52" s="53">
        <v>1231.6761612263458</v>
      </c>
      <c r="H52" s="32">
        <v>10.0</v>
      </c>
      <c r="I52" s="33">
        <f t="shared" si="4"/>
        <v>10.22291214</v>
      </c>
      <c r="J52" s="33">
        <f t="shared" si="2"/>
        <v>1251.899073</v>
      </c>
      <c r="K52" s="13"/>
      <c r="L52" s="33">
        <f t="shared" si="3"/>
        <v>1251.899073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13" t="s">
        <v>132</v>
      </c>
      <c r="C53" s="13"/>
      <c r="D53" s="30" t="s">
        <v>94</v>
      </c>
      <c r="E53" s="14"/>
      <c r="F53" s="14"/>
      <c r="G53" s="53">
        <v>16.747813710614736</v>
      </c>
      <c r="H53" s="32"/>
      <c r="I53" s="33">
        <f t="shared" si="4"/>
        <v>0.1390068538</v>
      </c>
      <c r="J53" s="33">
        <f t="shared" si="2"/>
        <v>16.88682056</v>
      </c>
      <c r="K53" s="13"/>
      <c r="L53" s="33">
        <f t="shared" si="3"/>
        <v>16.88682056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133</v>
      </c>
      <c r="C54" s="13"/>
      <c r="D54" s="30" t="s">
        <v>94</v>
      </c>
      <c r="E54" s="14">
        <v>45845.0</v>
      </c>
      <c r="F54" s="14"/>
      <c r="G54" s="59">
        <v>634.4294950260572</v>
      </c>
      <c r="H54" s="32">
        <v>30.0</v>
      </c>
      <c r="I54" s="33">
        <f t="shared" si="4"/>
        <v>5.265764809</v>
      </c>
      <c r="J54" s="33">
        <f t="shared" si="2"/>
        <v>669.6952598</v>
      </c>
      <c r="K54" s="13"/>
      <c r="L54" s="33">
        <f t="shared" si="3"/>
        <v>669.6952598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30" t="s">
        <v>134</v>
      </c>
      <c r="C55" s="13"/>
      <c r="D55" s="30" t="s">
        <v>94</v>
      </c>
      <c r="E55" s="14"/>
      <c r="F55" s="14" t="s">
        <v>131</v>
      </c>
      <c r="G55" s="53">
        <v>22.361223465098284</v>
      </c>
      <c r="H55" s="32"/>
      <c r="I55" s="33">
        <f t="shared" si="4"/>
        <v>0.1855981548</v>
      </c>
      <c r="J55" s="33">
        <f t="shared" si="2"/>
        <v>22.54682162</v>
      </c>
      <c r="K55" s="13"/>
      <c r="L55" s="33">
        <f t="shared" si="3"/>
        <v>22.54682162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30" t="s">
        <v>178</v>
      </c>
      <c r="C56" s="13"/>
      <c r="D56" s="30" t="s">
        <v>94</v>
      </c>
      <c r="E56" s="14">
        <v>45848.0</v>
      </c>
      <c r="F56" s="14" t="s">
        <v>131</v>
      </c>
      <c r="G56" s="53">
        <v>273.6260760635192</v>
      </c>
      <c r="H56" s="32">
        <v>20.0</v>
      </c>
      <c r="I56" s="33">
        <f t="shared" si="4"/>
        <v>2.271096431</v>
      </c>
      <c r="J56" s="33">
        <f t="shared" si="2"/>
        <v>295.8971725</v>
      </c>
      <c r="K56" s="13"/>
      <c r="L56" s="33">
        <f t="shared" si="3"/>
        <v>295.8971725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136</v>
      </c>
      <c r="C57" s="13"/>
      <c r="D57" s="30" t="s">
        <v>94</v>
      </c>
      <c r="E57" s="14"/>
      <c r="F57" s="14" t="s">
        <v>131</v>
      </c>
      <c r="G57" s="53">
        <v>22.361223465098284</v>
      </c>
      <c r="H57" s="32"/>
      <c r="I57" s="33">
        <f t="shared" si="4"/>
        <v>0.1855981548</v>
      </c>
      <c r="J57" s="33">
        <f t="shared" si="2"/>
        <v>22.54682162</v>
      </c>
      <c r="K57" s="13"/>
      <c r="L57" s="33">
        <f t="shared" si="3"/>
        <v>22.54682162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138</v>
      </c>
      <c r="C58" s="13"/>
      <c r="D58" s="30" t="s">
        <v>94</v>
      </c>
      <c r="E58" s="14"/>
      <c r="F58" s="14"/>
      <c r="G58" s="53">
        <v>11.134403956131196</v>
      </c>
      <c r="H58" s="32"/>
      <c r="I58" s="33">
        <f t="shared" si="4"/>
        <v>0.09241555284</v>
      </c>
      <c r="J58" s="33">
        <f t="shared" si="2"/>
        <v>11.22681951</v>
      </c>
      <c r="K58" s="13"/>
      <c r="L58" s="33">
        <f t="shared" si="3"/>
        <v>11.22681951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142</v>
      </c>
      <c r="C59" s="13"/>
      <c r="D59" s="30" t="s">
        <v>94</v>
      </c>
      <c r="E59" s="14">
        <v>45854.0</v>
      </c>
      <c r="F59" s="14"/>
      <c r="G59" s="53">
        <v>88.39807930312152</v>
      </c>
      <c r="H59" s="32">
        <v>10.0</v>
      </c>
      <c r="I59" s="33">
        <f t="shared" si="4"/>
        <v>0.7337040582</v>
      </c>
      <c r="J59" s="33">
        <f t="shared" si="2"/>
        <v>99.13178336</v>
      </c>
      <c r="K59" s="13"/>
      <c r="L59" s="33">
        <f t="shared" si="3"/>
        <v>99.13178336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153</v>
      </c>
      <c r="C60" s="13" t="s">
        <v>93</v>
      </c>
      <c r="D60" s="30" t="s">
        <v>94</v>
      </c>
      <c r="E60" s="14">
        <v>45848.0</v>
      </c>
      <c r="F60" s="14"/>
      <c r="G60" s="53">
        <v>508.79812685531914</v>
      </c>
      <c r="H60" s="32">
        <v>100.0</v>
      </c>
      <c r="I60" s="33">
        <f t="shared" si="4"/>
        <v>4.223024453</v>
      </c>
      <c r="J60" s="33">
        <f t="shared" si="2"/>
        <v>613.0211513</v>
      </c>
      <c r="K60" s="13"/>
      <c r="L60" s="33">
        <f t="shared" si="3"/>
        <v>613.0211513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154</v>
      </c>
      <c r="C61" s="13"/>
      <c r="D61" s="30" t="s">
        <v>94</v>
      </c>
      <c r="E61" s="14">
        <v>45848.0</v>
      </c>
      <c r="F61" s="14"/>
      <c r="G61" s="53">
        <v>307.5636902585467</v>
      </c>
      <c r="H61" s="32">
        <v>50.0</v>
      </c>
      <c r="I61" s="33">
        <f t="shared" si="4"/>
        <v>2.552778629</v>
      </c>
      <c r="J61" s="33">
        <f t="shared" si="2"/>
        <v>360.1164689</v>
      </c>
      <c r="K61" s="13"/>
      <c r="L61" s="33">
        <f t="shared" si="3"/>
        <v>360.1164689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3" t="s">
        <v>155</v>
      </c>
      <c r="C62" s="13"/>
      <c r="D62" s="30" t="s">
        <v>94</v>
      </c>
      <c r="E62" s="14">
        <v>45853.0</v>
      </c>
      <c r="F62" s="14"/>
      <c r="G62" s="53">
        <v>113.87141829235252</v>
      </c>
      <c r="H62" s="32">
        <v>30.0</v>
      </c>
      <c r="I62" s="33">
        <f t="shared" si="4"/>
        <v>0.9451327718</v>
      </c>
      <c r="J62" s="33">
        <f t="shared" si="2"/>
        <v>144.8165511</v>
      </c>
      <c r="K62" s="13"/>
      <c r="L62" s="33">
        <f t="shared" si="3"/>
        <v>144.8165511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41">
        <v>57.0</v>
      </c>
      <c r="B63" s="13" t="s">
        <v>162</v>
      </c>
      <c r="C63" s="13"/>
      <c r="D63" s="30" t="s">
        <v>94</v>
      </c>
      <c r="E63" s="14">
        <v>45846.0</v>
      </c>
      <c r="F63" s="14"/>
      <c r="G63" s="53">
        <v>61.007091252125505</v>
      </c>
      <c r="H63" s="32">
        <v>10.0</v>
      </c>
      <c r="I63" s="33">
        <f t="shared" si="4"/>
        <v>0.5063588574</v>
      </c>
      <c r="J63" s="33">
        <f t="shared" si="2"/>
        <v>71.51345011</v>
      </c>
      <c r="K63" s="13"/>
      <c r="L63" s="33">
        <f t="shared" si="3"/>
        <v>71.51345011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157</v>
      </c>
      <c r="C64" s="13"/>
      <c r="D64" s="30" t="s">
        <v>94</v>
      </c>
      <c r="E64" s="14"/>
      <c r="F64" s="14"/>
      <c r="G64" s="53">
        <v>25.503895817661917</v>
      </c>
      <c r="H64" s="32"/>
      <c r="I64" s="16">
        <f t="shared" si="4"/>
        <v>0.2116823353</v>
      </c>
      <c r="J64" s="33">
        <f t="shared" si="2"/>
        <v>25.71557815</v>
      </c>
      <c r="K64" s="13"/>
      <c r="L64" s="33">
        <f t="shared" si="3"/>
        <v>25.71557815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2" t="s">
        <v>179</v>
      </c>
      <c r="C65" s="12"/>
      <c r="D65" s="34" t="s">
        <v>94</v>
      </c>
      <c r="E65" s="14">
        <v>45840.0</v>
      </c>
      <c r="F65" s="22"/>
      <c r="G65" s="53">
        <v>224.18458818404164</v>
      </c>
      <c r="H65" s="32">
        <v>50.0</v>
      </c>
      <c r="I65" s="15">
        <f t="shared" si="4"/>
        <v>1.860732082</v>
      </c>
      <c r="J65" s="32">
        <f t="shared" si="2"/>
        <v>276.0453203</v>
      </c>
      <c r="K65" s="12"/>
      <c r="L65" s="32">
        <f t="shared" si="3"/>
        <v>276.0453203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30.0" customHeight="1">
      <c r="A66" s="41">
        <v>60.0</v>
      </c>
      <c r="B66" s="13" t="s">
        <v>160</v>
      </c>
      <c r="C66" s="13"/>
      <c r="D66" s="30" t="s">
        <v>94</v>
      </c>
      <c r="E66" s="14">
        <v>45844.0</v>
      </c>
      <c r="F66" s="14"/>
      <c r="G66" s="53">
        <v>10.29361436840416</v>
      </c>
      <c r="H66" s="32">
        <v>15.0</v>
      </c>
      <c r="I66" s="16">
        <f t="shared" si="4"/>
        <v>0.08543699926</v>
      </c>
      <c r="J66" s="33">
        <f t="shared" si="2"/>
        <v>25.37905137</v>
      </c>
      <c r="K66" s="13"/>
      <c r="L66" s="33">
        <f t="shared" si="3"/>
        <v>25.37905137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30.0" customHeight="1">
      <c r="A67" s="41">
        <v>61.0</v>
      </c>
      <c r="B67" s="13" t="s">
        <v>164</v>
      </c>
      <c r="C67" s="13"/>
      <c r="D67" s="30" t="s">
        <v>94</v>
      </c>
      <c r="E67" s="14">
        <v>45843.0</v>
      </c>
      <c r="F67" s="14"/>
      <c r="G67" s="53">
        <v>60.4993778</v>
      </c>
      <c r="H67" s="32">
        <v>20.0</v>
      </c>
      <c r="I67" s="16">
        <f t="shared" si="4"/>
        <v>0.5021448357</v>
      </c>
      <c r="J67" s="33">
        <f t="shared" si="2"/>
        <v>81.00152264</v>
      </c>
      <c r="K67" s="13"/>
      <c r="L67" s="33">
        <f t="shared" si="3"/>
        <v>81.00152264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30.0" customHeight="1">
      <c r="A68" s="41">
        <v>62.0</v>
      </c>
      <c r="B68" s="25" t="s">
        <v>180</v>
      </c>
      <c r="C68" s="13"/>
      <c r="D68" s="30" t="s">
        <v>94</v>
      </c>
      <c r="E68" s="14">
        <v>45840.0</v>
      </c>
      <c r="F68" s="14"/>
      <c r="G68" s="53">
        <v>80.7075667</v>
      </c>
      <c r="H68" s="32">
        <v>25.0</v>
      </c>
      <c r="I68" s="16">
        <f t="shared" si="4"/>
        <v>0.6698728036</v>
      </c>
      <c r="J68" s="33">
        <f t="shared" si="2"/>
        <v>106.3774395</v>
      </c>
      <c r="K68" s="13"/>
      <c r="L68" s="33">
        <f t="shared" si="3"/>
        <v>106.3774395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30.0" customHeight="1">
      <c r="A69" s="41">
        <v>63.0</v>
      </c>
      <c r="B69" s="13" t="s">
        <v>168</v>
      </c>
      <c r="C69" s="13"/>
      <c r="D69" s="30" t="s">
        <v>94</v>
      </c>
      <c r="E69" s="14">
        <v>45847.0</v>
      </c>
      <c r="F69" s="14"/>
      <c r="G69" s="53">
        <v>30.0</v>
      </c>
      <c r="H69" s="32">
        <v>10.0</v>
      </c>
      <c r="I69" s="16">
        <f t="shared" si="4"/>
        <v>0.249</v>
      </c>
      <c r="J69" s="33">
        <f t="shared" si="2"/>
        <v>40.249</v>
      </c>
      <c r="K69" s="13"/>
      <c r="L69" s="33">
        <f t="shared" si="3"/>
        <v>40.249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30.0" customHeight="1">
      <c r="A70" s="41">
        <v>64.0</v>
      </c>
      <c r="B70" s="13" t="s">
        <v>169</v>
      </c>
      <c r="C70" s="13"/>
      <c r="D70" s="30" t="s">
        <v>94</v>
      </c>
      <c r="E70" s="14">
        <v>45843.0</v>
      </c>
      <c r="F70" s="14"/>
      <c r="G70" s="53">
        <v>30.0</v>
      </c>
      <c r="H70" s="32">
        <v>20.0</v>
      </c>
      <c r="I70" s="16">
        <f t="shared" si="4"/>
        <v>0.249</v>
      </c>
      <c r="J70" s="33">
        <f t="shared" si="2"/>
        <v>50.249</v>
      </c>
      <c r="K70" s="13"/>
      <c r="L70" s="33">
        <f t="shared" si="3"/>
        <v>50.249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30.0" customHeight="1">
      <c r="A71" s="41">
        <v>65.0</v>
      </c>
      <c r="B71" s="13" t="s">
        <v>181</v>
      </c>
      <c r="C71" s="13"/>
      <c r="D71" s="30" t="s">
        <v>94</v>
      </c>
      <c r="E71" s="14">
        <v>45849.0</v>
      </c>
      <c r="F71" s="14"/>
      <c r="G71" s="53">
        <v>20.0</v>
      </c>
      <c r="H71" s="32">
        <v>10.0</v>
      </c>
      <c r="I71" s="16">
        <f t="shared" si="4"/>
        <v>0.166</v>
      </c>
      <c r="J71" s="33">
        <f t="shared" si="2"/>
        <v>30.166</v>
      </c>
      <c r="K71" s="13"/>
      <c r="L71" s="33">
        <f t="shared" si="3"/>
        <v>30.166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30.0" customHeight="1">
      <c r="A72" s="41">
        <v>66.0</v>
      </c>
      <c r="B72" s="13" t="s">
        <v>171</v>
      </c>
      <c r="C72" s="13"/>
      <c r="D72" s="30" t="s">
        <v>94</v>
      </c>
      <c r="E72" s="14">
        <v>45840.0</v>
      </c>
      <c r="F72" s="14"/>
      <c r="G72" s="53">
        <v>20.0</v>
      </c>
      <c r="H72" s="32">
        <v>15.0</v>
      </c>
      <c r="I72" s="16">
        <f t="shared" si="4"/>
        <v>0.166</v>
      </c>
      <c r="J72" s="33">
        <f t="shared" si="2"/>
        <v>35.166</v>
      </c>
      <c r="K72" s="13"/>
      <c r="L72" s="33">
        <f t="shared" si="3"/>
        <v>35.166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30.0" customHeight="1">
      <c r="A73" s="41">
        <v>67.0</v>
      </c>
      <c r="B73" s="13" t="s">
        <v>182</v>
      </c>
      <c r="C73" s="13"/>
      <c r="D73" s="30" t="s">
        <v>94</v>
      </c>
      <c r="E73" s="14">
        <v>45845.0</v>
      </c>
      <c r="F73" s="14"/>
      <c r="G73" s="53"/>
      <c r="H73" s="32">
        <v>10.0</v>
      </c>
      <c r="I73" s="16">
        <f t="shared" si="4"/>
        <v>0</v>
      </c>
      <c r="J73" s="33">
        <f t="shared" si="2"/>
        <v>10</v>
      </c>
      <c r="K73" s="13"/>
      <c r="L73" s="33">
        <f t="shared" si="3"/>
        <v>10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30.0" customHeight="1">
      <c r="A74" s="41">
        <v>68.0</v>
      </c>
      <c r="B74" s="13" t="s">
        <v>183</v>
      </c>
      <c r="C74" s="13"/>
      <c r="D74" s="30" t="s">
        <v>94</v>
      </c>
      <c r="E74" s="14">
        <v>45847.0</v>
      </c>
      <c r="F74" s="14"/>
      <c r="G74" s="53"/>
      <c r="H74" s="32">
        <v>10.0</v>
      </c>
      <c r="I74" s="16">
        <f t="shared" si="4"/>
        <v>0</v>
      </c>
      <c r="J74" s="33">
        <f t="shared" si="2"/>
        <v>10</v>
      </c>
      <c r="K74" s="13"/>
      <c r="L74" s="33">
        <f t="shared" si="3"/>
        <v>10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30.0" customHeight="1">
      <c r="A75" s="41">
        <v>69.0</v>
      </c>
      <c r="B75" s="13" t="s">
        <v>184</v>
      </c>
      <c r="C75" s="13"/>
      <c r="D75" s="30" t="s">
        <v>94</v>
      </c>
      <c r="E75" s="14">
        <v>45848.0</v>
      </c>
      <c r="F75" s="14"/>
      <c r="G75" s="53"/>
      <c r="H75" s="32">
        <v>10.0</v>
      </c>
      <c r="I75" s="16">
        <f t="shared" si="4"/>
        <v>0</v>
      </c>
      <c r="J75" s="33">
        <f t="shared" si="2"/>
        <v>10</v>
      </c>
      <c r="K75" s="13"/>
      <c r="L75" s="33">
        <f t="shared" si="3"/>
        <v>10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30.0" customHeight="1">
      <c r="A76" s="41">
        <v>70.0</v>
      </c>
      <c r="B76" s="13" t="s">
        <v>185</v>
      </c>
      <c r="C76" s="13"/>
      <c r="D76" s="30" t="s">
        <v>94</v>
      </c>
      <c r="E76" s="14">
        <v>45848.0</v>
      </c>
      <c r="F76" s="14"/>
      <c r="G76" s="53"/>
      <c r="H76" s="32">
        <v>20.0</v>
      </c>
      <c r="I76" s="16">
        <f t="shared" si="4"/>
        <v>0</v>
      </c>
      <c r="J76" s="33">
        <f t="shared" si="2"/>
        <v>20</v>
      </c>
      <c r="K76" s="13"/>
      <c r="L76" s="33">
        <f t="shared" si="3"/>
        <v>20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30.0" customHeight="1">
      <c r="A77" s="41">
        <v>71.0</v>
      </c>
      <c r="B77" s="13" t="s">
        <v>186</v>
      </c>
      <c r="C77" s="13"/>
      <c r="D77" s="30" t="s">
        <v>94</v>
      </c>
      <c r="E77" s="14">
        <v>45848.0</v>
      </c>
      <c r="F77" s="14"/>
      <c r="G77" s="53"/>
      <c r="H77" s="32">
        <v>150.0</v>
      </c>
      <c r="I77" s="16">
        <f t="shared" si="4"/>
        <v>0</v>
      </c>
      <c r="J77" s="33">
        <f t="shared" si="2"/>
        <v>150</v>
      </c>
      <c r="K77" s="13"/>
      <c r="L77" s="33">
        <f t="shared" si="3"/>
        <v>150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30.0" customHeight="1">
      <c r="A78" s="41">
        <v>72.0</v>
      </c>
      <c r="B78" s="13" t="s">
        <v>187</v>
      </c>
      <c r="C78" s="13"/>
      <c r="D78" s="30" t="s">
        <v>94</v>
      </c>
      <c r="E78" s="14">
        <v>45849.0</v>
      </c>
      <c r="F78" s="14"/>
      <c r="G78" s="53"/>
      <c r="H78" s="32">
        <v>10.0</v>
      </c>
      <c r="I78" s="16">
        <f t="shared" si="4"/>
        <v>0</v>
      </c>
      <c r="J78" s="33">
        <f t="shared" si="2"/>
        <v>10</v>
      </c>
      <c r="K78" s="13"/>
      <c r="L78" s="33">
        <f t="shared" si="3"/>
        <v>10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0" customHeight="1">
      <c r="A79" s="17"/>
      <c r="B79" s="13"/>
      <c r="C79" s="13"/>
      <c r="D79" s="13"/>
      <c r="E79" s="13"/>
      <c r="F79" s="13"/>
      <c r="G79" s="55">
        <f>SUM(G7:G72)</f>
        <v>54695.40779</v>
      </c>
      <c r="H79" s="55">
        <f t="shared" ref="H79:J79" si="5">SUM(H7:H78)</f>
        <v>1302.46</v>
      </c>
      <c r="I79" s="55">
        <f t="shared" si="5"/>
        <v>453.9718998</v>
      </c>
      <c r="J79" s="55">
        <f t="shared" si="5"/>
        <v>56451.83969</v>
      </c>
      <c r="K79" s="55">
        <f>SUM(K7:K72)</f>
        <v>0</v>
      </c>
      <c r="L79" s="18">
        <f>SUM(L7:L78)</f>
        <v>56451.83969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6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2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79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188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/>
      <c r="F7" s="31"/>
      <c r="G7" s="52">
        <v>5079.562120585148</v>
      </c>
      <c r="H7" s="32"/>
      <c r="I7" s="33">
        <f t="shared" ref="I7:I47" si="1">G7*0.83%</f>
        <v>42.1603656</v>
      </c>
      <c r="J7" s="33">
        <f t="shared" ref="J7:J80" si="2">G7+H7+I7</f>
        <v>5121.722486</v>
      </c>
      <c r="K7" s="30"/>
      <c r="L7" s="33">
        <f t="shared" ref="L7:L80" si="3">J7-K7</f>
        <v>5121.722486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5">
        <v>45880.0</v>
      </c>
      <c r="F8" s="31"/>
      <c r="G8" s="52">
        <v>8673.661488985133</v>
      </c>
      <c r="H8" s="32">
        <v>30.0</v>
      </c>
      <c r="I8" s="33">
        <f t="shared" si="1"/>
        <v>71.99139036</v>
      </c>
      <c r="J8" s="33">
        <f t="shared" si="2"/>
        <v>8775.652879</v>
      </c>
      <c r="K8" s="30"/>
      <c r="L8" s="33">
        <f t="shared" si="3"/>
        <v>8775.652879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5"/>
      <c r="F9" s="31"/>
      <c r="G9" s="52">
        <v>8710.449811809824</v>
      </c>
      <c r="H9" s="32"/>
      <c r="I9" s="33">
        <f t="shared" si="1"/>
        <v>72.29673344</v>
      </c>
      <c r="J9" s="33">
        <f t="shared" si="2"/>
        <v>8782.746545</v>
      </c>
      <c r="K9" s="30"/>
      <c r="L9" s="33">
        <f t="shared" si="3"/>
        <v>8782.746545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/>
      <c r="F10" s="35"/>
      <c r="G10" s="52">
        <v>216.9410517930121</v>
      </c>
      <c r="H10" s="32"/>
      <c r="I10" s="32">
        <f t="shared" si="1"/>
        <v>1.80061073</v>
      </c>
      <c r="J10" s="33">
        <f t="shared" si="2"/>
        <v>218.7416625</v>
      </c>
      <c r="K10" s="51"/>
      <c r="L10" s="32">
        <f t="shared" si="3"/>
        <v>218.7416625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189</v>
      </c>
      <c r="C11" s="34" t="s">
        <v>91</v>
      </c>
      <c r="D11" s="34" t="s">
        <v>92</v>
      </c>
      <c r="E11" s="35">
        <v>45875.0</v>
      </c>
      <c r="F11" s="35"/>
      <c r="G11" s="52">
        <v>674.6646364405742</v>
      </c>
      <c r="H11" s="32">
        <v>20.0</v>
      </c>
      <c r="I11" s="32">
        <f t="shared" si="1"/>
        <v>5.599716482</v>
      </c>
      <c r="J11" s="33">
        <f t="shared" si="2"/>
        <v>700.2643529</v>
      </c>
      <c r="K11" s="34"/>
      <c r="L11" s="32">
        <f t="shared" si="3"/>
        <v>700.2643529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37</v>
      </c>
      <c r="C12" s="34" t="s">
        <v>91</v>
      </c>
      <c r="D12" s="34" t="s">
        <v>92</v>
      </c>
      <c r="E12" s="35"/>
      <c r="F12" s="35"/>
      <c r="G12" s="52">
        <v>669.1330449841189</v>
      </c>
      <c r="H12" s="32"/>
      <c r="I12" s="32">
        <f t="shared" si="1"/>
        <v>5.553804273</v>
      </c>
      <c r="J12" s="33">
        <f t="shared" si="2"/>
        <v>674.6868493</v>
      </c>
      <c r="K12" s="34"/>
      <c r="L12" s="32">
        <f t="shared" si="3"/>
        <v>674.6868493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45880.0</v>
      </c>
      <c r="F13" s="35"/>
      <c r="G13" s="52">
        <v>8591.648109342661</v>
      </c>
      <c r="H13" s="32">
        <v>60.36</v>
      </c>
      <c r="I13" s="32">
        <f t="shared" si="1"/>
        <v>71.31067931</v>
      </c>
      <c r="J13" s="33">
        <f t="shared" si="2"/>
        <v>8723.318789</v>
      </c>
      <c r="K13" s="34"/>
      <c r="L13" s="32">
        <f t="shared" si="3"/>
        <v>8723.318789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41">
        <v>8.0</v>
      </c>
      <c r="B14" s="34" t="s">
        <v>173</v>
      </c>
      <c r="C14" s="34" t="s">
        <v>91</v>
      </c>
      <c r="D14" s="34" t="s">
        <v>92</v>
      </c>
      <c r="E14" s="35">
        <v>45875.0</v>
      </c>
      <c r="F14" s="35"/>
      <c r="G14" s="52">
        <v>2419.028629326162</v>
      </c>
      <c r="H14" s="32">
        <v>50.0</v>
      </c>
      <c r="I14" s="32">
        <f t="shared" si="1"/>
        <v>20.07793762</v>
      </c>
      <c r="J14" s="33">
        <f t="shared" si="2"/>
        <v>2489.106567</v>
      </c>
      <c r="K14" s="51"/>
      <c r="L14" s="32">
        <f t="shared" si="3"/>
        <v>2489.106567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41">
        <v>9.0</v>
      </c>
      <c r="B15" s="34" t="s">
        <v>174</v>
      </c>
      <c r="C15" s="30" t="s">
        <v>91</v>
      </c>
      <c r="D15" s="30" t="s">
        <v>94</v>
      </c>
      <c r="E15" s="35">
        <v>45872.0</v>
      </c>
      <c r="F15" s="31"/>
      <c r="G15" s="52">
        <v>4119.751172688456</v>
      </c>
      <c r="H15" s="32">
        <v>50.0</v>
      </c>
      <c r="I15" s="33">
        <f t="shared" si="1"/>
        <v>34.19393473</v>
      </c>
      <c r="J15" s="33">
        <f t="shared" si="2"/>
        <v>4203.945107</v>
      </c>
      <c r="K15" s="30"/>
      <c r="L15" s="33">
        <f t="shared" si="3"/>
        <v>4203.945107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41">
        <v>10.0</v>
      </c>
      <c r="B16" s="30" t="s">
        <v>49</v>
      </c>
      <c r="C16" s="30" t="s">
        <v>91</v>
      </c>
      <c r="D16" s="30" t="s">
        <v>94</v>
      </c>
      <c r="E16" s="35">
        <v>45875.0</v>
      </c>
      <c r="F16" s="31" t="s">
        <v>38</v>
      </c>
      <c r="G16" s="52">
        <v>249.55630087593923</v>
      </c>
      <c r="H16" s="32">
        <v>10.0</v>
      </c>
      <c r="I16" s="33">
        <f t="shared" si="1"/>
        <v>2.071317297</v>
      </c>
      <c r="J16" s="33">
        <f t="shared" si="2"/>
        <v>261.6276182</v>
      </c>
      <c r="K16" s="30"/>
      <c r="L16" s="33">
        <f t="shared" si="3"/>
        <v>261.6276182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5"/>
      <c r="F17" s="31" t="s">
        <v>39</v>
      </c>
      <c r="G17" s="52">
        <v>510.1188825097798</v>
      </c>
      <c r="H17" s="32"/>
      <c r="I17" s="33">
        <f t="shared" si="1"/>
        <v>4.233986725</v>
      </c>
      <c r="J17" s="33">
        <f t="shared" si="2"/>
        <v>514.3528692</v>
      </c>
      <c r="K17" s="30"/>
      <c r="L17" s="33">
        <f t="shared" si="3"/>
        <v>514.3528692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1"/>
      <c r="F18" s="31" t="s">
        <v>34</v>
      </c>
      <c r="G18" s="52">
        <v>119.75609091851172</v>
      </c>
      <c r="H18" s="32"/>
      <c r="I18" s="33">
        <f t="shared" si="1"/>
        <v>0.9939755546</v>
      </c>
      <c r="J18" s="33">
        <f t="shared" si="2"/>
        <v>120.7500665</v>
      </c>
      <c r="K18" s="30"/>
      <c r="L18" s="33">
        <f t="shared" si="3"/>
        <v>120.7500665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1"/>
      <c r="F19" s="31" t="s">
        <v>38</v>
      </c>
      <c r="G19" s="52">
        <v>94.79479615890624</v>
      </c>
      <c r="H19" s="32"/>
      <c r="I19" s="33">
        <f t="shared" si="1"/>
        <v>0.7867968081</v>
      </c>
      <c r="J19" s="33">
        <f t="shared" si="2"/>
        <v>95.58159297</v>
      </c>
      <c r="K19" s="30"/>
      <c r="L19" s="33">
        <f t="shared" si="3"/>
        <v>95.58159297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5">
        <v>45875.0</v>
      </c>
      <c r="F20" s="31" t="s">
        <v>38</v>
      </c>
      <c r="G20" s="52">
        <v>320.2812014725145</v>
      </c>
      <c r="H20" s="32">
        <v>20.0</v>
      </c>
      <c r="I20" s="32">
        <f t="shared" si="1"/>
        <v>2.658333972</v>
      </c>
      <c r="J20" s="33">
        <f t="shared" si="2"/>
        <v>342.9395354</v>
      </c>
      <c r="K20" s="34"/>
      <c r="L20" s="32">
        <f t="shared" si="3"/>
        <v>342.9395354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5">
        <v>45883.0</v>
      </c>
      <c r="F21" s="35" t="s">
        <v>34</v>
      </c>
      <c r="G21" s="52">
        <v>2694.317886194625</v>
      </c>
      <c r="H21" s="32">
        <v>100.0</v>
      </c>
      <c r="I21" s="33">
        <f t="shared" si="1"/>
        <v>22.36283846</v>
      </c>
      <c r="J21" s="33">
        <f t="shared" si="2"/>
        <v>2816.680725</v>
      </c>
      <c r="K21" s="30"/>
      <c r="L21" s="33">
        <f t="shared" si="3"/>
        <v>2816.680725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1"/>
      <c r="F22" s="31" t="s">
        <v>33</v>
      </c>
      <c r="G22" s="52">
        <v>323.1906448009454</v>
      </c>
      <c r="H22" s="32"/>
      <c r="I22" s="33">
        <f t="shared" si="1"/>
        <v>2.682482352</v>
      </c>
      <c r="J22" s="33">
        <f t="shared" si="2"/>
        <v>325.8731272</v>
      </c>
      <c r="K22" s="30"/>
      <c r="L22" s="33">
        <f t="shared" si="3"/>
        <v>325.8731272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5">
        <v>45878.0</v>
      </c>
      <c r="F23" s="31" t="s">
        <v>38</v>
      </c>
      <c r="G23" s="52">
        <v>40.500761317869994</v>
      </c>
      <c r="H23" s="32">
        <v>10.0</v>
      </c>
      <c r="I23" s="32">
        <f t="shared" si="1"/>
        <v>0.3361563189</v>
      </c>
      <c r="J23" s="33">
        <f t="shared" si="2"/>
        <v>50.83691764</v>
      </c>
      <c r="K23" s="34"/>
      <c r="L23" s="32">
        <f t="shared" si="3"/>
        <v>50.83691764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41">
        <v>18.0</v>
      </c>
      <c r="B24" s="34" t="s">
        <v>41</v>
      </c>
      <c r="C24" s="34" t="s">
        <v>91</v>
      </c>
      <c r="D24" s="30" t="s">
        <v>94</v>
      </c>
      <c r="E24" s="35"/>
      <c r="F24" s="35" t="s">
        <v>34</v>
      </c>
      <c r="G24" s="52">
        <v>395.6808853844503</v>
      </c>
      <c r="H24" s="39"/>
      <c r="I24" s="33">
        <f t="shared" si="1"/>
        <v>3.284151349</v>
      </c>
      <c r="J24" s="33">
        <f t="shared" si="2"/>
        <v>398.9650367</v>
      </c>
      <c r="K24" s="30"/>
      <c r="L24" s="33">
        <f t="shared" si="3"/>
        <v>398.9650367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5">
        <v>45881.0</v>
      </c>
      <c r="F25" s="31" t="s">
        <v>39</v>
      </c>
      <c r="G25" s="52">
        <v>832.2751700445247</v>
      </c>
      <c r="H25" s="32">
        <v>20.0</v>
      </c>
      <c r="I25" s="33">
        <f t="shared" si="1"/>
        <v>6.907883911</v>
      </c>
      <c r="J25" s="33">
        <f t="shared" si="2"/>
        <v>859.183054</v>
      </c>
      <c r="K25" s="30"/>
      <c r="L25" s="33">
        <f t="shared" si="3"/>
        <v>859.183054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/>
      <c r="F26" s="31" t="s">
        <v>34</v>
      </c>
      <c r="G26" s="52">
        <v>88.80410070369354</v>
      </c>
      <c r="H26" s="39"/>
      <c r="I26" s="32">
        <f t="shared" si="1"/>
        <v>0.7370740358</v>
      </c>
      <c r="J26" s="33">
        <f t="shared" si="2"/>
        <v>89.54117474</v>
      </c>
      <c r="K26" s="34"/>
      <c r="L26" s="32">
        <f t="shared" si="3"/>
        <v>89.54117474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/>
      <c r="F27" s="35" t="s">
        <v>38</v>
      </c>
      <c r="G27" s="52">
        <v>130.35209013400328</v>
      </c>
      <c r="H27" s="39"/>
      <c r="I27" s="33">
        <f t="shared" si="1"/>
        <v>1.081922348</v>
      </c>
      <c r="J27" s="33">
        <f t="shared" si="2"/>
        <v>131.4340125</v>
      </c>
      <c r="K27" s="30"/>
      <c r="L27" s="33">
        <f t="shared" si="3"/>
        <v>131.4340125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/>
      <c r="F28" s="31" t="s">
        <v>38</v>
      </c>
      <c r="G28" s="52">
        <v>153.46720563792766</v>
      </c>
      <c r="H28" s="39"/>
      <c r="I28" s="33">
        <f t="shared" si="1"/>
        <v>1.273777807</v>
      </c>
      <c r="J28" s="33">
        <f t="shared" si="2"/>
        <v>154.7409834</v>
      </c>
      <c r="K28" s="30"/>
      <c r="L28" s="33">
        <f t="shared" si="3"/>
        <v>154.7409834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5"/>
      <c r="F29" s="31" t="s">
        <v>39</v>
      </c>
      <c r="G29" s="52">
        <v>1265.9835901248869</v>
      </c>
      <c r="H29" s="39"/>
      <c r="I29" s="33">
        <f t="shared" si="1"/>
        <v>10.5076638</v>
      </c>
      <c r="J29" s="33">
        <f t="shared" si="2"/>
        <v>1276.491254</v>
      </c>
      <c r="K29" s="30"/>
      <c r="L29" s="33">
        <f t="shared" si="3"/>
        <v>1276.491254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/>
      <c r="F30" s="31" t="s">
        <v>40</v>
      </c>
      <c r="G30" s="52">
        <v>723.5191313368096</v>
      </c>
      <c r="H30" s="39"/>
      <c r="I30" s="33">
        <f t="shared" si="1"/>
        <v>6.00520879</v>
      </c>
      <c r="J30" s="33">
        <f t="shared" si="2"/>
        <v>729.5243401</v>
      </c>
      <c r="K30" s="30"/>
      <c r="L30" s="33">
        <f t="shared" si="3"/>
        <v>729.5243401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/>
      <c r="F31" s="31" t="s">
        <v>39</v>
      </c>
      <c r="G31" s="52">
        <v>47.52895053096546</v>
      </c>
      <c r="H31" s="39"/>
      <c r="I31" s="33">
        <f t="shared" si="1"/>
        <v>0.3944902894</v>
      </c>
      <c r="J31" s="33">
        <f t="shared" si="2"/>
        <v>47.92344082</v>
      </c>
      <c r="K31" s="30"/>
      <c r="L31" s="33">
        <f t="shared" si="3"/>
        <v>47.92344082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/>
      <c r="F32" s="31" t="s">
        <v>33</v>
      </c>
      <c r="G32" s="52">
        <v>72.87918344144606</v>
      </c>
      <c r="H32" s="39"/>
      <c r="I32" s="33">
        <f t="shared" si="1"/>
        <v>0.6048972226</v>
      </c>
      <c r="J32" s="33">
        <f t="shared" si="2"/>
        <v>73.48408066</v>
      </c>
      <c r="K32" s="30"/>
      <c r="L32" s="33">
        <f t="shared" si="3"/>
        <v>73.48408066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/>
      <c r="F33" s="31" t="s">
        <v>38</v>
      </c>
      <c r="G33" s="52">
        <v>245.90494424221495</v>
      </c>
      <c r="H33" s="32"/>
      <c r="I33" s="33">
        <f t="shared" si="1"/>
        <v>2.041011037</v>
      </c>
      <c r="J33" s="33">
        <f t="shared" si="2"/>
        <v>247.9459553</v>
      </c>
      <c r="K33" s="30"/>
      <c r="L33" s="33">
        <f t="shared" si="3"/>
        <v>247.9459553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/>
      <c r="F34" s="31" t="s">
        <v>39</v>
      </c>
      <c r="G34" s="52">
        <v>74.87951365196922</v>
      </c>
      <c r="H34" s="32"/>
      <c r="I34" s="33">
        <f t="shared" si="1"/>
        <v>0.6214999633</v>
      </c>
      <c r="J34" s="33">
        <f t="shared" si="2"/>
        <v>75.50101362</v>
      </c>
      <c r="K34" s="30"/>
      <c r="L34" s="33">
        <f t="shared" si="3"/>
        <v>75.50101362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5"/>
      <c r="F35" s="31"/>
      <c r="G35" s="52">
        <v>2069.476517653745</v>
      </c>
      <c r="H35" s="32"/>
      <c r="I35" s="33">
        <f t="shared" si="1"/>
        <v>17.1766551</v>
      </c>
      <c r="J35" s="33">
        <f t="shared" si="2"/>
        <v>2086.653173</v>
      </c>
      <c r="K35" s="30"/>
      <c r="L35" s="33">
        <f t="shared" si="3"/>
        <v>2086.653173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102</v>
      </c>
      <c r="C36" s="30"/>
      <c r="D36" s="30" t="s">
        <v>94</v>
      </c>
      <c r="E36" s="31"/>
      <c r="F36" s="31"/>
      <c r="G36" s="52">
        <v>17.74623793866274</v>
      </c>
      <c r="H36" s="32"/>
      <c r="I36" s="33">
        <f t="shared" si="1"/>
        <v>0.1472937749</v>
      </c>
      <c r="J36" s="33">
        <f t="shared" si="2"/>
        <v>17.89353171</v>
      </c>
      <c r="K36" s="30"/>
      <c r="L36" s="33">
        <f t="shared" si="3"/>
        <v>17.89353171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41">
        <v>31.0</v>
      </c>
      <c r="B37" s="30" t="s">
        <v>104</v>
      </c>
      <c r="C37" s="30" t="s">
        <v>93</v>
      </c>
      <c r="D37" s="30" t="s">
        <v>94</v>
      </c>
      <c r="E37" s="35">
        <v>45870.0</v>
      </c>
      <c r="F37" s="31"/>
      <c r="G37" s="52">
        <v>362.4766311004133</v>
      </c>
      <c r="H37" s="32">
        <v>20.0</v>
      </c>
      <c r="I37" s="33">
        <f t="shared" si="1"/>
        <v>3.008556038</v>
      </c>
      <c r="J37" s="33">
        <f t="shared" si="2"/>
        <v>385.4851871</v>
      </c>
      <c r="K37" s="30"/>
      <c r="L37" s="33">
        <f t="shared" si="3"/>
        <v>385.4851871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41">
        <v>32.0</v>
      </c>
      <c r="B38" s="30" t="s">
        <v>190</v>
      </c>
      <c r="C38" s="34"/>
      <c r="D38" s="34" t="s">
        <v>94</v>
      </c>
      <c r="E38" s="35">
        <v>45879.0</v>
      </c>
      <c r="F38" s="35"/>
      <c r="G38" s="52">
        <v>306.2206808126487</v>
      </c>
      <c r="H38" s="32">
        <v>20.0</v>
      </c>
      <c r="I38" s="32">
        <f t="shared" si="1"/>
        <v>2.541631651</v>
      </c>
      <c r="J38" s="32">
        <f t="shared" si="2"/>
        <v>328.7623125</v>
      </c>
      <c r="K38" s="34"/>
      <c r="L38" s="32">
        <f t="shared" si="3"/>
        <v>328.7623125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175</v>
      </c>
      <c r="C39" s="34"/>
      <c r="D39" s="34" t="s">
        <v>94</v>
      </c>
      <c r="E39" s="35">
        <v>45871.0</v>
      </c>
      <c r="F39" s="35"/>
      <c r="G39" s="52">
        <v>607.3344813956802</v>
      </c>
      <c r="H39" s="32">
        <v>100.0</v>
      </c>
      <c r="I39" s="32">
        <f t="shared" si="1"/>
        <v>5.040876196</v>
      </c>
      <c r="J39" s="32">
        <f t="shared" si="2"/>
        <v>712.3753576</v>
      </c>
      <c r="K39" s="34"/>
      <c r="L39" s="32">
        <f t="shared" si="3"/>
        <v>712.3753576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108</v>
      </c>
      <c r="C40" s="34"/>
      <c r="D40" s="34" t="s">
        <v>94</v>
      </c>
      <c r="E40" s="35"/>
      <c r="F40" s="35"/>
      <c r="G40" s="52">
        <v>64.07385477937689</v>
      </c>
      <c r="H40" s="32"/>
      <c r="I40" s="32">
        <f t="shared" si="1"/>
        <v>0.5318129947</v>
      </c>
      <c r="J40" s="33">
        <f t="shared" si="2"/>
        <v>64.60566777</v>
      </c>
      <c r="K40" s="34"/>
      <c r="L40" s="32">
        <f t="shared" si="3"/>
        <v>64.60566777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111</v>
      </c>
      <c r="C41" s="34"/>
      <c r="D41" s="34" t="s">
        <v>94</v>
      </c>
      <c r="E41" s="35">
        <v>45881.0</v>
      </c>
      <c r="F41" s="35"/>
      <c r="G41" s="52">
        <v>59.10143110137719</v>
      </c>
      <c r="H41" s="32">
        <v>10.0</v>
      </c>
      <c r="I41" s="32">
        <f t="shared" si="1"/>
        <v>0.4905418781</v>
      </c>
      <c r="J41" s="33">
        <f t="shared" si="2"/>
        <v>69.59197298</v>
      </c>
      <c r="K41" s="34"/>
      <c r="L41" s="32">
        <f t="shared" si="3"/>
        <v>69.59197298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4" t="s">
        <v>112</v>
      </c>
      <c r="C42" s="34"/>
      <c r="D42" s="34" t="s">
        <v>94</v>
      </c>
      <c r="E42" s="35"/>
      <c r="F42" s="35"/>
      <c r="G42" s="52">
        <v>23.6932115446259</v>
      </c>
      <c r="H42" s="32"/>
      <c r="I42" s="32">
        <f t="shared" si="1"/>
        <v>0.1966536558</v>
      </c>
      <c r="J42" s="33">
        <f t="shared" si="2"/>
        <v>23.8898652</v>
      </c>
      <c r="K42" s="34"/>
      <c r="L42" s="32">
        <f t="shared" si="3"/>
        <v>23.8898652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41">
        <v>37.0</v>
      </c>
      <c r="B43" s="34" t="s">
        <v>116</v>
      </c>
      <c r="C43" s="34"/>
      <c r="D43" s="34" t="s">
        <v>94</v>
      </c>
      <c r="E43" s="35"/>
      <c r="F43" s="35"/>
      <c r="G43" s="52">
        <v>11.604216140919016</v>
      </c>
      <c r="H43" s="32"/>
      <c r="I43" s="32">
        <f t="shared" si="1"/>
        <v>0.09631499397</v>
      </c>
      <c r="J43" s="33">
        <f t="shared" si="2"/>
        <v>11.70053113</v>
      </c>
      <c r="K43" s="34"/>
      <c r="L43" s="32">
        <f t="shared" si="3"/>
        <v>11.70053113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118</v>
      </c>
      <c r="C44" s="30"/>
      <c r="D44" s="30" t="s">
        <v>94</v>
      </c>
      <c r="E44" s="31"/>
      <c r="F44" s="31"/>
      <c r="G44" s="52">
        <v>23.208432281838032</v>
      </c>
      <c r="H44" s="32"/>
      <c r="I44" s="33">
        <f t="shared" si="1"/>
        <v>0.1926299879</v>
      </c>
      <c r="J44" s="33">
        <f t="shared" si="2"/>
        <v>23.40106227</v>
      </c>
      <c r="K44" s="30"/>
      <c r="L44" s="33">
        <f t="shared" si="3"/>
        <v>23.40106227</v>
      </c>
      <c r="M44" s="4">
        <f>210.72+106.7</f>
        <v>317.42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0" t="s">
        <v>176</v>
      </c>
      <c r="C45" s="34"/>
      <c r="D45" s="34" t="s">
        <v>94</v>
      </c>
      <c r="E45" s="35"/>
      <c r="F45" s="35"/>
      <c r="G45" s="32">
        <v>223.52874202277332</v>
      </c>
      <c r="H45" s="32"/>
      <c r="I45" s="32">
        <f t="shared" si="1"/>
        <v>1.855288559</v>
      </c>
      <c r="J45" s="32">
        <f t="shared" si="2"/>
        <v>225.3840306</v>
      </c>
      <c r="K45" s="34"/>
      <c r="L45" s="32">
        <f t="shared" si="3"/>
        <v>225.3840306</v>
      </c>
      <c r="M45" s="65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41">
        <v>40.0</v>
      </c>
      <c r="B46" s="30" t="s">
        <v>121</v>
      </c>
      <c r="C46" s="30"/>
      <c r="D46" s="30" t="s">
        <v>94</v>
      </c>
      <c r="E46" s="31"/>
      <c r="F46" s="31"/>
      <c r="G46" s="52">
        <v>11.50869398087773</v>
      </c>
      <c r="H46" s="32"/>
      <c r="I46" s="33">
        <f t="shared" si="1"/>
        <v>0.09552216004</v>
      </c>
      <c r="J46" s="33">
        <f t="shared" si="2"/>
        <v>11.60421614</v>
      </c>
      <c r="K46" s="30"/>
      <c r="L46" s="33">
        <f t="shared" si="3"/>
        <v>11.60421614</v>
      </c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41">
        <v>41.0</v>
      </c>
      <c r="B47" s="34" t="s">
        <v>161</v>
      </c>
      <c r="C47" s="34"/>
      <c r="D47" s="34" t="s">
        <v>94</v>
      </c>
      <c r="E47" s="35"/>
      <c r="F47" s="35"/>
      <c r="G47" s="64">
        <v>107.68310810050163</v>
      </c>
      <c r="H47" s="32"/>
      <c r="I47" s="32">
        <f t="shared" si="1"/>
        <v>0.8937697972</v>
      </c>
      <c r="J47" s="32">
        <f t="shared" si="2"/>
        <v>108.5768779</v>
      </c>
      <c r="K47" s="12"/>
      <c r="L47" s="32">
        <f t="shared" si="3"/>
        <v>108.5768779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30.0" customHeight="1">
      <c r="A48" s="66">
        <v>42.0</v>
      </c>
      <c r="B48" s="67" t="s">
        <v>125</v>
      </c>
      <c r="C48" s="67"/>
      <c r="D48" s="68" t="s">
        <v>94</v>
      </c>
      <c r="E48" s="69"/>
      <c r="F48" s="69"/>
      <c r="G48" s="70">
        <v>-0.001818975090884578</v>
      </c>
      <c r="H48" s="71"/>
      <c r="I48" s="72">
        <v>0.0</v>
      </c>
      <c r="J48" s="73">
        <f t="shared" si="2"/>
        <v>-0.001818975091</v>
      </c>
      <c r="K48" s="67"/>
      <c r="L48" s="72">
        <f t="shared" si="3"/>
        <v>-0.001818975091</v>
      </c>
      <c r="M48" s="74"/>
      <c r="N48" s="74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</row>
    <row r="49" ht="30.0" customHeight="1">
      <c r="A49" s="41">
        <v>43.0</v>
      </c>
      <c r="B49" s="54" t="s">
        <v>126</v>
      </c>
      <c r="C49" s="13"/>
      <c r="D49" s="30" t="s">
        <v>94</v>
      </c>
      <c r="E49" s="14">
        <v>45871.0</v>
      </c>
      <c r="F49" s="14"/>
      <c r="G49" s="53">
        <v>343.05939576174757</v>
      </c>
      <c r="H49" s="32">
        <v>10.0</v>
      </c>
      <c r="I49" s="33">
        <f t="shared" ref="I49:I80" si="4">G49*0.83%</f>
        <v>2.847392985</v>
      </c>
      <c r="J49" s="33">
        <f t="shared" si="2"/>
        <v>355.9067887</v>
      </c>
      <c r="K49" s="13"/>
      <c r="L49" s="33">
        <f t="shared" si="3"/>
        <v>355.9067887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41">
        <v>44.0</v>
      </c>
      <c r="B50" s="13" t="s">
        <v>127</v>
      </c>
      <c r="C50" s="13"/>
      <c r="D50" s="30" t="s">
        <v>94</v>
      </c>
      <c r="E50" s="14"/>
      <c r="F50" s="14"/>
      <c r="G50" s="53">
        <v>45.281555274758</v>
      </c>
      <c r="H50" s="32"/>
      <c r="I50" s="33">
        <f t="shared" si="4"/>
        <v>0.3758369088</v>
      </c>
      <c r="J50" s="33">
        <f t="shared" si="2"/>
        <v>45.65739218</v>
      </c>
      <c r="K50" s="13"/>
      <c r="L50" s="33">
        <f t="shared" si="3"/>
        <v>45.65739218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41">
        <v>45.0</v>
      </c>
      <c r="B51" s="13" t="s">
        <v>128</v>
      </c>
      <c r="C51" s="13"/>
      <c r="D51" s="30" t="s">
        <v>94</v>
      </c>
      <c r="E51" s="14">
        <v>45879.0</v>
      </c>
      <c r="F51" s="14"/>
      <c r="G51" s="53">
        <v>181.7703591418956</v>
      </c>
      <c r="H51" s="32">
        <v>10.0</v>
      </c>
      <c r="I51" s="33">
        <f t="shared" si="4"/>
        <v>1.508693981</v>
      </c>
      <c r="J51" s="33">
        <f t="shared" si="2"/>
        <v>193.2790531</v>
      </c>
      <c r="K51" s="13"/>
      <c r="L51" s="33">
        <f t="shared" si="3"/>
        <v>193.2790531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13" t="s">
        <v>177</v>
      </c>
      <c r="C52" s="13"/>
      <c r="D52" s="30" t="s">
        <v>94</v>
      </c>
      <c r="E52" s="14">
        <v>45879.0</v>
      </c>
      <c r="F52" s="14" t="s">
        <v>101</v>
      </c>
      <c r="G52" s="53">
        <v>1251.8990733645244</v>
      </c>
      <c r="H52" s="32">
        <v>10.0</v>
      </c>
      <c r="I52" s="33">
        <f t="shared" si="4"/>
        <v>10.39076231</v>
      </c>
      <c r="J52" s="33">
        <f t="shared" si="2"/>
        <v>1272.289836</v>
      </c>
      <c r="K52" s="13"/>
      <c r="L52" s="33">
        <f t="shared" si="3"/>
        <v>1272.289836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13" t="s">
        <v>132</v>
      </c>
      <c r="C53" s="13"/>
      <c r="D53" s="30" t="s">
        <v>94</v>
      </c>
      <c r="E53" s="14"/>
      <c r="F53" s="14"/>
      <c r="G53" s="53">
        <v>16.886820564412837</v>
      </c>
      <c r="H53" s="32"/>
      <c r="I53" s="33">
        <f t="shared" si="4"/>
        <v>0.1401606107</v>
      </c>
      <c r="J53" s="33">
        <f t="shared" si="2"/>
        <v>17.02698118</v>
      </c>
      <c r="K53" s="13"/>
      <c r="L53" s="33">
        <f t="shared" si="3"/>
        <v>17.02698118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133</v>
      </c>
      <c r="C54" s="13"/>
      <c r="D54" s="30" t="s">
        <v>94</v>
      </c>
      <c r="E54" s="14">
        <v>45879.0</v>
      </c>
      <c r="F54" s="14"/>
      <c r="G54" s="59">
        <v>669.6952598347735</v>
      </c>
      <c r="H54" s="32">
        <v>20.0</v>
      </c>
      <c r="I54" s="33">
        <f t="shared" si="4"/>
        <v>5.558470657</v>
      </c>
      <c r="J54" s="33">
        <f t="shared" si="2"/>
        <v>695.2537305</v>
      </c>
      <c r="K54" s="13"/>
      <c r="L54" s="33">
        <f t="shared" si="3"/>
        <v>695.2537305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30" t="s">
        <v>134</v>
      </c>
      <c r="C55" s="13"/>
      <c r="D55" s="30" t="s">
        <v>94</v>
      </c>
      <c r="E55" s="14"/>
      <c r="F55" s="14" t="s">
        <v>131</v>
      </c>
      <c r="G55" s="53">
        <v>22.5468216198586</v>
      </c>
      <c r="H55" s="32"/>
      <c r="I55" s="33">
        <f t="shared" si="4"/>
        <v>0.1871386194</v>
      </c>
      <c r="J55" s="33">
        <f t="shared" si="2"/>
        <v>22.73396024</v>
      </c>
      <c r="K55" s="13"/>
      <c r="L55" s="33">
        <f t="shared" si="3"/>
        <v>22.73396024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30" t="s">
        <v>178</v>
      </c>
      <c r="C56" s="13"/>
      <c r="D56" s="30" t="s">
        <v>94</v>
      </c>
      <c r="E56" s="14">
        <v>45880.0</v>
      </c>
      <c r="F56" s="14" t="s">
        <v>131</v>
      </c>
      <c r="G56" s="53">
        <v>295.8971724948464</v>
      </c>
      <c r="H56" s="32">
        <v>20.0</v>
      </c>
      <c r="I56" s="33">
        <f t="shared" si="4"/>
        <v>2.455946532</v>
      </c>
      <c r="J56" s="33">
        <f t="shared" si="2"/>
        <v>318.353119</v>
      </c>
      <c r="K56" s="13"/>
      <c r="L56" s="33">
        <f t="shared" si="3"/>
        <v>318.353119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136</v>
      </c>
      <c r="C57" s="13"/>
      <c r="D57" s="30" t="s">
        <v>94</v>
      </c>
      <c r="E57" s="14"/>
      <c r="F57" s="14" t="s">
        <v>131</v>
      </c>
      <c r="G57" s="53">
        <v>22.5468216198586</v>
      </c>
      <c r="H57" s="32"/>
      <c r="I57" s="33">
        <f t="shared" si="4"/>
        <v>0.1871386194</v>
      </c>
      <c r="J57" s="33">
        <f t="shared" si="2"/>
        <v>22.73396024</v>
      </c>
      <c r="K57" s="13"/>
      <c r="L57" s="33">
        <f t="shared" si="3"/>
        <v>22.73396024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138</v>
      </c>
      <c r="C58" s="13"/>
      <c r="D58" s="30" t="s">
        <v>94</v>
      </c>
      <c r="E58" s="14"/>
      <c r="F58" s="14"/>
      <c r="G58" s="53">
        <v>11.226819508967084</v>
      </c>
      <c r="H58" s="32"/>
      <c r="I58" s="33">
        <f t="shared" si="4"/>
        <v>0.09318260192</v>
      </c>
      <c r="J58" s="33">
        <f t="shared" si="2"/>
        <v>11.32000211</v>
      </c>
      <c r="K58" s="13"/>
      <c r="L58" s="33">
        <f t="shared" si="3"/>
        <v>11.32000211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142</v>
      </c>
      <c r="C59" s="13"/>
      <c r="D59" s="30" t="s">
        <v>94</v>
      </c>
      <c r="E59" s="14">
        <v>45884.0</v>
      </c>
      <c r="F59" s="14"/>
      <c r="G59" s="53">
        <v>99.13178336133743</v>
      </c>
      <c r="H59" s="32">
        <v>10.0</v>
      </c>
      <c r="I59" s="33">
        <f t="shared" si="4"/>
        <v>0.8227938019</v>
      </c>
      <c r="J59" s="33">
        <f t="shared" si="2"/>
        <v>109.9545772</v>
      </c>
      <c r="K59" s="13"/>
      <c r="L59" s="33">
        <f t="shared" si="3"/>
        <v>109.9545772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153</v>
      </c>
      <c r="C60" s="13" t="s">
        <v>93</v>
      </c>
      <c r="D60" s="30" t="s">
        <v>94</v>
      </c>
      <c r="E60" s="14">
        <v>45881.0</v>
      </c>
      <c r="F60" s="14"/>
      <c r="G60" s="53">
        <v>613.0211513082184</v>
      </c>
      <c r="H60" s="32">
        <v>50.0</v>
      </c>
      <c r="I60" s="33">
        <f t="shared" si="4"/>
        <v>5.088075556</v>
      </c>
      <c r="J60" s="33">
        <f t="shared" si="2"/>
        <v>668.1092269</v>
      </c>
      <c r="K60" s="13"/>
      <c r="L60" s="33">
        <f t="shared" si="3"/>
        <v>668.1092269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154</v>
      </c>
      <c r="C61" s="13"/>
      <c r="D61" s="30" t="s">
        <v>94</v>
      </c>
      <c r="E61" s="14"/>
      <c r="F61" s="14"/>
      <c r="G61" s="53">
        <v>360.1164688876927</v>
      </c>
      <c r="H61" s="32"/>
      <c r="I61" s="33">
        <f t="shared" si="4"/>
        <v>2.988966692</v>
      </c>
      <c r="J61" s="33">
        <f t="shared" si="2"/>
        <v>363.1054356</v>
      </c>
      <c r="K61" s="13"/>
      <c r="L61" s="33">
        <f t="shared" si="3"/>
        <v>363.1054356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3" t="s">
        <v>155</v>
      </c>
      <c r="C62" s="13"/>
      <c r="D62" s="30" t="s">
        <v>94</v>
      </c>
      <c r="E62" s="14">
        <v>45884.0</v>
      </c>
      <c r="F62" s="14"/>
      <c r="G62" s="53">
        <v>144.81655106417907</v>
      </c>
      <c r="H62" s="32">
        <v>30.0</v>
      </c>
      <c r="I62" s="33">
        <f t="shared" si="4"/>
        <v>1.201977374</v>
      </c>
      <c r="J62" s="33">
        <f t="shared" si="2"/>
        <v>176.0185284</v>
      </c>
      <c r="K62" s="13"/>
      <c r="L62" s="33">
        <f t="shared" si="3"/>
        <v>176.0185284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41">
        <v>57.0</v>
      </c>
      <c r="B63" s="13" t="s">
        <v>162</v>
      </c>
      <c r="C63" s="13"/>
      <c r="D63" s="30" t="s">
        <v>94</v>
      </c>
      <c r="E63" s="14">
        <v>45877.0</v>
      </c>
      <c r="F63" s="14"/>
      <c r="G63" s="53">
        <v>71.51345010951815</v>
      </c>
      <c r="H63" s="32">
        <v>10.0</v>
      </c>
      <c r="I63" s="33">
        <f t="shared" si="4"/>
        <v>0.5935616359</v>
      </c>
      <c r="J63" s="33">
        <f t="shared" si="2"/>
        <v>82.10701175</v>
      </c>
      <c r="K63" s="13"/>
      <c r="L63" s="33">
        <f t="shared" si="3"/>
        <v>82.10701175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157</v>
      </c>
      <c r="C64" s="13"/>
      <c r="D64" s="30" t="s">
        <v>94</v>
      </c>
      <c r="E64" s="14"/>
      <c r="F64" s="14"/>
      <c r="G64" s="53">
        <v>25.71557815294851</v>
      </c>
      <c r="H64" s="32"/>
      <c r="I64" s="16">
        <f t="shared" si="4"/>
        <v>0.2134392987</v>
      </c>
      <c r="J64" s="33">
        <f t="shared" si="2"/>
        <v>25.92901745</v>
      </c>
      <c r="K64" s="13"/>
      <c r="L64" s="33">
        <f t="shared" si="3"/>
        <v>25.92901745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2" t="s">
        <v>179</v>
      </c>
      <c r="C65" s="12"/>
      <c r="D65" s="34" t="s">
        <v>94</v>
      </c>
      <c r="E65" s="14">
        <v>45873.0</v>
      </c>
      <c r="F65" s="22"/>
      <c r="G65" s="53">
        <v>276.0453202659692</v>
      </c>
      <c r="H65" s="32">
        <v>80.0</v>
      </c>
      <c r="I65" s="15">
        <f t="shared" si="4"/>
        <v>2.291176158</v>
      </c>
      <c r="J65" s="32">
        <f t="shared" si="2"/>
        <v>358.3364964</v>
      </c>
      <c r="K65" s="12"/>
      <c r="L65" s="32">
        <f t="shared" si="3"/>
        <v>358.3364964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30.0" customHeight="1">
      <c r="A66" s="41">
        <v>60.0</v>
      </c>
      <c r="B66" s="13" t="s">
        <v>160</v>
      </c>
      <c r="C66" s="13"/>
      <c r="D66" s="30" t="s">
        <v>94</v>
      </c>
      <c r="E66" s="14">
        <v>45874.0</v>
      </c>
      <c r="F66" s="14"/>
      <c r="G66" s="53">
        <v>25.379051367661916</v>
      </c>
      <c r="H66" s="32">
        <v>5.0</v>
      </c>
      <c r="I66" s="16">
        <f t="shared" si="4"/>
        <v>0.2106461264</v>
      </c>
      <c r="J66" s="33">
        <f t="shared" si="2"/>
        <v>30.58969749</v>
      </c>
      <c r="K66" s="13"/>
      <c r="L66" s="33">
        <f t="shared" si="3"/>
        <v>30.58969749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30.0" customHeight="1">
      <c r="A67" s="41">
        <v>61.0</v>
      </c>
      <c r="B67" s="13" t="s">
        <v>164</v>
      </c>
      <c r="C67" s="13"/>
      <c r="D67" s="30" t="s">
        <v>94</v>
      </c>
      <c r="E67" s="14">
        <v>45874.0</v>
      </c>
      <c r="F67" s="14"/>
      <c r="G67" s="53">
        <v>81.00152263573999</v>
      </c>
      <c r="H67" s="32">
        <v>20.0</v>
      </c>
      <c r="I67" s="16">
        <f t="shared" si="4"/>
        <v>0.6723126379</v>
      </c>
      <c r="J67" s="33">
        <f t="shared" si="2"/>
        <v>101.6738353</v>
      </c>
      <c r="K67" s="13"/>
      <c r="L67" s="33">
        <f t="shared" si="3"/>
        <v>101.6738353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30.0" customHeight="1">
      <c r="A68" s="41">
        <v>62.0</v>
      </c>
      <c r="B68" s="25" t="s">
        <v>180</v>
      </c>
      <c r="C68" s="13"/>
      <c r="D68" s="30" t="s">
        <v>94</v>
      </c>
      <c r="E68" s="14">
        <v>45870.0</v>
      </c>
      <c r="F68" s="14"/>
      <c r="G68" s="53">
        <v>106.37743950361</v>
      </c>
      <c r="H68" s="32">
        <v>25.0</v>
      </c>
      <c r="I68" s="16">
        <f t="shared" si="4"/>
        <v>0.8829327479</v>
      </c>
      <c r="J68" s="33">
        <f t="shared" si="2"/>
        <v>132.2603723</v>
      </c>
      <c r="K68" s="13"/>
      <c r="L68" s="33">
        <f t="shared" si="3"/>
        <v>132.2603723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30.0" customHeight="1">
      <c r="A69" s="41">
        <v>63.0</v>
      </c>
      <c r="B69" s="13" t="s">
        <v>168</v>
      </c>
      <c r="C69" s="13"/>
      <c r="D69" s="30" t="s">
        <v>94</v>
      </c>
      <c r="E69" s="14">
        <v>45880.0</v>
      </c>
      <c r="F69" s="14"/>
      <c r="G69" s="53">
        <v>40.249</v>
      </c>
      <c r="H69" s="32">
        <v>10.0</v>
      </c>
      <c r="I69" s="16">
        <f t="shared" si="4"/>
        <v>0.3340667</v>
      </c>
      <c r="J69" s="33">
        <f t="shared" si="2"/>
        <v>50.5830667</v>
      </c>
      <c r="K69" s="13"/>
      <c r="L69" s="33">
        <f t="shared" si="3"/>
        <v>50.5830667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30.0" customHeight="1">
      <c r="A70" s="41">
        <v>64.0</v>
      </c>
      <c r="B70" s="13" t="s">
        <v>169</v>
      </c>
      <c r="C70" s="13"/>
      <c r="D70" s="30" t="s">
        <v>94</v>
      </c>
      <c r="E70" s="14">
        <v>45880.0</v>
      </c>
      <c r="F70" s="14"/>
      <c r="G70" s="53">
        <v>50.249</v>
      </c>
      <c r="H70" s="32">
        <v>10.0</v>
      </c>
      <c r="I70" s="16">
        <f t="shared" si="4"/>
        <v>0.4170667</v>
      </c>
      <c r="J70" s="33">
        <f t="shared" si="2"/>
        <v>60.6660667</v>
      </c>
      <c r="K70" s="13"/>
      <c r="L70" s="33">
        <f t="shared" si="3"/>
        <v>60.6660667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30.0" customHeight="1">
      <c r="A71" s="41">
        <v>65.0</v>
      </c>
      <c r="B71" s="13" t="s">
        <v>181</v>
      </c>
      <c r="C71" s="13"/>
      <c r="D71" s="30" t="s">
        <v>94</v>
      </c>
      <c r="E71" s="14">
        <v>45873.0</v>
      </c>
      <c r="F71" s="14"/>
      <c r="G71" s="53">
        <v>30.166</v>
      </c>
      <c r="H71" s="32">
        <v>10.0</v>
      </c>
      <c r="I71" s="16">
        <f t="shared" si="4"/>
        <v>0.2503778</v>
      </c>
      <c r="J71" s="33">
        <f t="shared" si="2"/>
        <v>40.4163778</v>
      </c>
      <c r="K71" s="13"/>
      <c r="L71" s="33">
        <f t="shared" si="3"/>
        <v>40.4163778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30.0" customHeight="1">
      <c r="A72" s="41">
        <v>66.0</v>
      </c>
      <c r="B72" s="13" t="s">
        <v>171</v>
      </c>
      <c r="C72" s="13"/>
      <c r="D72" s="30" t="s">
        <v>94</v>
      </c>
      <c r="E72" s="14">
        <v>45870.0</v>
      </c>
      <c r="F72" s="14"/>
      <c r="G72" s="53">
        <v>35.166</v>
      </c>
      <c r="H72" s="32">
        <v>19.23</v>
      </c>
      <c r="I72" s="16">
        <f t="shared" si="4"/>
        <v>0.2918778</v>
      </c>
      <c r="J72" s="33">
        <f t="shared" si="2"/>
        <v>54.6878778</v>
      </c>
      <c r="K72" s="13"/>
      <c r="L72" s="33">
        <f t="shared" si="3"/>
        <v>54.6878778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30.0" customHeight="1">
      <c r="A73" s="41">
        <v>67.0</v>
      </c>
      <c r="B73" s="13" t="s">
        <v>182</v>
      </c>
      <c r="C73" s="13"/>
      <c r="D73" s="30" t="s">
        <v>94</v>
      </c>
      <c r="E73" s="14">
        <v>45870.0</v>
      </c>
      <c r="F73" s="14"/>
      <c r="G73" s="53">
        <v>10.0</v>
      </c>
      <c r="H73" s="32">
        <v>10.0</v>
      </c>
      <c r="I73" s="16">
        <f t="shared" si="4"/>
        <v>0.083</v>
      </c>
      <c r="J73" s="33">
        <f t="shared" si="2"/>
        <v>20.083</v>
      </c>
      <c r="K73" s="13"/>
      <c r="L73" s="33">
        <f t="shared" si="3"/>
        <v>20.083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30.0" customHeight="1">
      <c r="A74" s="41">
        <v>68.0</v>
      </c>
      <c r="B74" s="13" t="s">
        <v>183</v>
      </c>
      <c r="C74" s="13"/>
      <c r="D74" s="30" t="s">
        <v>94</v>
      </c>
      <c r="E74" s="14">
        <v>45877.0</v>
      </c>
      <c r="F74" s="14"/>
      <c r="G74" s="53">
        <v>10.0</v>
      </c>
      <c r="H74" s="32">
        <v>10.0</v>
      </c>
      <c r="I74" s="16">
        <f t="shared" si="4"/>
        <v>0.083</v>
      </c>
      <c r="J74" s="33">
        <f t="shared" si="2"/>
        <v>20.083</v>
      </c>
      <c r="K74" s="13"/>
      <c r="L74" s="33">
        <f t="shared" si="3"/>
        <v>20.083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30.0" customHeight="1">
      <c r="A75" s="41">
        <v>69.0</v>
      </c>
      <c r="B75" s="13" t="s">
        <v>184</v>
      </c>
      <c r="C75" s="13"/>
      <c r="D75" s="30" t="s">
        <v>94</v>
      </c>
      <c r="E75" s="14">
        <v>45877.0</v>
      </c>
      <c r="F75" s="14"/>
      <c r="G75" s="53">
        <v>10.0</v>
      </c>
      <c r="H75" s="32">
        <v>10.0</v>
      </c>
      <c r="I75" s="16">
        <f t="shared" si="4"/>
        <v>0.083</v>
      </c>
      <c r="J75" s="33">
        <f t="shared" si="2"/>
        <v>20.083</v>
      </c>
      <c r="K75" s="13"/>
      <c r="L75" s="33">
        <f t="shared" si="3"/>
        <v>20.083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30.0" customHeight="1">
      <c r="A76" s="41">
        <v>70.0</v>
      </c>
      <c r="B76" s="13" t="s">
        <v>185</v>
      </c>
      <c r="C76" s="13"/>
      <c r="D76" s="30" t="s">
        <v>94</v>
      </c>
      <c r="E76" s="14">
        <v>45879.0</v>
      </c>
      <c r="F76" s="14"/>
      <c r="G76" s="53">
        <v>20.0</v>
      </c>
      <c r="H76" s="32">
        <v>20.0</v>
      </c>
      <c r="I76" s="16">
        <f t="shared" si="4"/>
        <v>0.166</v>
      </c>
      <c r="J76" s="33">
        <f t="shared" si="2"/>
        <v>40.166</v>
      </c>
      <c r="K76" s="13"/>
      <c r="L76" s="33">
        <f t="shared" si="3"/>
        <v>40.166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30.0" customHeight="1">
      <c r="A77" s="41">
        <v>71.0</v>
      </c>
      <c r="B77" s="13" t="s">
        <v>186</v>
      </c>
      <c r="C77" s="13"/>
      <c r="D77" s="30" t="s">
        <v>94</v>
      </c>
      <c r="E77" s="14">
        <v>45876.0</v>
      </c>
      <c r="F77" s="14"/>
      <c r="G77" s="53">
        <v>150.0</v>
      </c>
      <c r="H77" s="32">
        <v>400.0</v>
      </c>
      <c r="I77" s="16">
        <f t="shared" si="4"/>
        <v>1.245</v>
      </c>
      <c r="J77" s="33">
        <f t="shared" si="2"/>
        <v>551.245</v>
      </c>
      <c r="K77" s="13"/>
      <c r="L77" s="33">
        <f t="shared" si="3"/>
        <v>551.245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30.0" customHeight="1">
      <c r="A78" s="41">
        <v>72.0</v>
      </c>
      <c r="B78" s="13" t="s">
        <v>187</v>
      </c>
      <c r="C78" s="13"/>
      <c r="D78" s="30" t="s">
        <v>94</v>
      </c>
      <c r="E78" s="14">
        <v>45879.0</v>
      </c>
      <c r="F78" s="14"/>
      <c r="G78" s="53">
        <v>10.0</v>
      </c>
      <c r="H78" s="32">
        <v>10.0</v>
      </c>
      <c r="I78" s="16">
        <f t="shared" si="4"/>
        <v>0.083</v>
      </c>
      <c r="J78" s="33">
        <f t="shared" si="2"/>
        <v>20.083</v>
      </c>
      <c r="K78" s="13"/>
      <c r="L78" s="33">
        <f t="shared" si="3"/>
        <v>20.083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30.0" customHeight="1">
      <c r="A79" s="41">
        <v>73.0</v>
      </c>
      <c r="B79" s="13" t="s">
        <v>191</v>
      </c>
      <c r="C79" s="13"/>
      <c r="D79" s="30" t="s">
        <v>94</v>
      </c>
      <c r="E79" s="14">
        <v>45873.0</v>
      </c>
      <c r="F79" s="14"/>
      <c r="G79" s="53"/>
      <c r="H79" s="32">
        <v>50.0</v>
      </c>
      <c r="I79" s="16">
        <f t="shared" si="4"/>
        <v>0</v>
      </c>
      <c r="J79" s="33">
        <f t="shared" si="2"/>
        <v>50</v>
      </c>
      <c r="K79" s="13"/>
      <c r="L79" s="33">
        <f t="shared" si="3"/>
        <v>50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30.0" customHeight="1">
      <c r="A80" s="41">
        <v>74.0</v>
      </c>
      <c r="B80" s="13" t="s">
        <v>192</v>
      </c>
      <c r="C80" s="13"/>
      <c r="D80" s="30" t="s">
        <v>94</v>
      </c>
      <c r="E80" s="14">
        <v>45874.0</v>
      </c>
      <c r="F80" s="14"/>
      <c r="G80" s="53"/>
      <c r="H80" s="32">
        <v>50.0</v>
      </c>
      <c r="I80" s="16">
        <f t="shared" si="4"/>
        <v>0</v>
      </c>
      <c r="J80" s="33">
        <f t="shared" si="2"/>
        <v>50</v>
      </c>
      <c r="K80" s="13"/>
      <c r="L80" s="33">
        <f t="shared" si="3"/>
        <v>50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0" customHeight="1">
      <c r="A81" s="17"/>
      <c r="B81" s="13"/>
      <c r="C81" s="13"/>
      <c r="D81" s="13"/>
      <c r="E81" s="13"/>
      <c r="F81" s="13"/>
      <c r="G81" s="55">
        <f>SUM(G7:G78)</f>
        <v>56456.04423</v>
      </c>
      <c r="H81" s="55">
        <f t="shared" ref="H81:J81" si="5">SUM(H7:H80)</f>
        <v>1429.59</v>
      </c>
      <c r="I81" s="18">
        <f t="shared" si="5"/>
        <v>468.5851822</v>
      </c>
      <c r="J81" s="55">
        <f t="shared" si="5"/>
        <v>58354.21941</v>
      </c>
      <c r="K81" s="55">
        <f>SUM(K7:K72)</f>
        <v>0</v>
      </c>
      <c r="L81" s="18">
        <f>SUM(L7:L80)</f>
        <v>58354.21941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2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81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193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/>
      <c r="F7" s="31"/>
      <c r="G7" s="52">
        <v>5121.722486186004</v>
      </c>
      <c r="H7" s="32"/>
      <c r="I7" s="33">
        <f t="shared" ref="I7:I47" si="1">G7*0.83%</f>
        <v>42.51029664</v>
      </c>
      <c r="J7" s="33">
        <f t="shared" ref="J7:J80" si="2">G7+H7+I7</f>
        <v>5164.232783</v>
      </c>
      <c r="K7" s="30"/>
      <c r="L7" s="33">
        <f t="shared" ref="L7:L80" si="3">J7-K7</f>
        <v>5164.232783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5"/>
      <c r="F8" s="31"/>
      <c r="G8" s="52">
        <v>8775.65287934371</v>
      </c>
      <c r="H8" s="32"/>
      <c r="I8" s="33">
        <f t="shared" si="1"/>
        <v>72.8379189</v>
      </c>
      <c r="J8" s="33">
        <f t="shared" si="2"/>
        <v>8848.490798</v>
      </c>
      <c r="K8" s="30"/>
      <c r="L8" s="33">
        <f t="shared" si="3"/>
        <v>8848.490798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5">
        <v>45905.0</v>
      </c>
      <c r="F9" s="31"/>
      <c r="G9" s="52">
        <v>8782.746545247845</v>
      </c>
      <c r="H9" s="32">
        <v>50.0</v>
      </c>
      <c r="I9" s="33">
        <f t="shared" si="1"/>
        <v>72.89679633</v>
      </c>
      <c r="J9" s="33">
        <f t="shared" si="2"/>
        <v>8905.643342</v>
      </c>
      <c r="K9" s="30"/>
      <c r="L9" s="33">
        <f t="shared" si="3"/>
        <v>8905.643342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/>
      <c r="F10" s="35"/>
      <c r="G10" s="52">
        <v>218.7416625228941</v>
      </c>
      <c r="H10" s="32"/>
      <c r="I10" s="32">
        <f t="shared" si="1"/>
        <v>1.815555799</v>
      </c>
      <c r="J10" s="33">
        <f t="shared" si="2"/>
        <v>220.5572183</v>
      </c>
      <c r="K10" s="51"/>
      <c r="L10" s="32">
        <f t="shared" si="3"/>
        <v>220.5572183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189</v>
      </c>
      <c r="C11" s="34" t="s">
        <v>91</v>
      </c>
      <c r="D11" s="34" t="s">
        <v>92</v>
      </c>
      <c r="E11" s="35">
        <v>45910.0</v>
      </c>
      <c r="F11" s="35"/>
      <c r="G11" s="52">
        <v>676.0249158349806</v>
      </c>
      <c r="H11" s="32">
        <v>20.0</v>
      </c>
      <c r="I11" s="32">
        <f t="shared" si="1"/>
        <v>5.611006801</v>
      </c>
      <c r="J11" s="33">
        <f t="shared" si="2"/>
        <v>701.6359226</v>
      </c>
      <c r="K11" s="34"/>
      <c r="L11" s="32">
        <f t="shared" si="3"/>
        <v>701.6359226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37</v>
      </c>
      <c r="C12" s="34" t="s">
        <v>91</v>
      </c>
      <c r="D12" s="34" t="s">
        <v>92</v>
      </c>
      <c r="E12" s="35"/>
      <c r="F12" s="35"/>
      <c r="G12" s="52">
        <v>674.6868492574871</v>
      </c>
      <c r="H12" s="32"/>
      <c r="I12" s="32">
        <f t="shared" si="1"/>
        <v>5.599900849</v>
      </c>
      <c r="J12" s="33">
        <f t="shared" si="2"/>
        <v>680.2867501</v>
      </c>
      <c r="K12" s="34"/>
      <c r="L12" s="32">
        <f t="shared" si="3"/>
        <v>680.2867501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45911.0</v>
      </c>
      <c r="F13" s="35"/>
      <c r="G13" s="52">
        <v>8723.318788650206</v>
      </c>
      <c r="H13" s="32">
        <v>63.68</v>
      </c>
      <c r="I13" s="32">
        <f t="shared" si="1"/>
        <v>72.40354595</v>
      </c>
      <c r="J13" s="33">
        <f t="shared" si="2"/>
        <v>8859.402335</v>
      </c>
      <c r="K13" s="34"/>
      <c r="L13" s="32">
        <f t="shared" si="3"/>
        <v>8859.402335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41">
        <v>8.0</v>
      </c>
      <c r="B14" s="34" t="s">
        <v>173</v>
      </c>
      <c r="C14" s="34" t="s">
        <v>91</v>
      </c>
      <c r="D14" s="34" t="s">
        <v>92</v>
      </c>
      <c r="E14" s="35">
        <v>45905.0</v>
      </c>
      <c r="F14" s="35"/>
      <c r="G14" s="52">
        <v>2489.1065669495692</v>
      </c>
      <c r="H14" s="32">
        <v>50.0</v>
      </c>
      <c r="I14" s="32">
        <f t="shared" si="1"/>
        <v>20.65958451</v>
      </c>
      <c r="J14" s="33">
        <f t="shared" si="2"/>
        <v>2559.766151</v>
      </c>
      <c r="K14" s="51"/>
      <c r="L14" s="32">
        <f t="shared" si="3"/>
        <v>2559.766151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41">
        <v>9.0</v>
      </c>
      <c r="B15" s="34" t="s">
        <v>174</v>
      </c>
      <c r="C15" s="30" t="s">
        <v>91</v>
      </c>
      <c r="D15" s="30" t="s">
        <v>94</v>
      </c>
      <c r="E15" s="35">
        <v>45901.0</v>
      </c>
      <c r="F15" s="31"/>
      <c r="G15" s="52">
        <v>4203.94510742177</v>
      </c>
      <c r="H15" s="32">
        <v>20.0</v>
      </c>
      <c r="I15" s="33">
        <f t="shared" si="1"/>
        <v>34.89274439</v>
      </c>
      <c r="J15" s="33">
        <f t="shared" si="2"/>
        <v>4258.837852</v>
      </c>
      <c r="K15" s="30"/>
      <c r="L15" s="33">
        <f t="shared" si="3"/>
        <v>4258.837852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41">
        <v>10.0</v>
      </c>
      <c r="B16" s="30" t="s">
        <v>49</v>
      </c>
      <c r="C16" s="30" t="s">
        <v>91</v>
      </c>
      <c r="D16" s="30" t="s">
        <v>94</v>
      </c>
      <c r="E16" s="35">
        <v>45908.0</v>
      </c>
      <c r="F16" s="31" t="s">
        <v>38</v>
      </c>
      <c r="G16" s="52">
        <v>261.6276181732095</v>
      </c>
      <c r="H16" s="32">
        <v>10.0</v>
      </c>
      <c r="I16" s="33">
        <f t="shared" si="1"/>
        <v>2.171509231</v>
      </c>
      <c r="J16" s="33">
        <f t="shared" si="2"/>
        <v>273.7991274</v>
      </c>
      <c r="K16" s="30"/>
      <c r="L16" s="33">
        <f t="shared" si="3"/>
        <v>273.7991274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5">
        <v>45909.0</v>
      </c>
      <c r="F17" s="31" t="s">
        <v>39</v>
      </c>
      <c r="G17" s="52">
        <v>514.3528692346109</v>
      </c>
      <c r="H17" s="32">
        <v>20.0</v>
      </c>
      <c r="I17" s="33">
        <f t="shared" si="1"/>
        <v>4.269128815</v>
      </c>
      <c r="J17" s="33">
        <f t="shared" si="2"/>
        <v>538.621998</v>
      </c>
      <c r="K17" s="30"/>
      <c r="L17" s="33">
        <f t="shared" si="3"/>
        <v>538.621998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1"/>
      <c r="F18" s="31" t="s">
        <v>34</v>
      </c>
      <c r="G18" s="52">
        <v>120.75006647313536</v>
      </c>
      <c r="H18" s="32"/>
      <c r="I18" s="33">
        <f t="shared" si="1"/>
        <v>1.002225552</v>
      </c>
      <c r="J18" s="33">
        <f t="shared" si="2"/>
        <v>121.752292</v>
      </c>
      <c r="K18" s="30"/>
      <c r="L18" s="33">
        <f t="shared" si="3"/>
        <v>121.752292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1"/>
      <c r="F19" s="31" t="s">
        <v>38</v>
      </c>
      <c r="G19" s="52">
        <v>95.58159296702516</v>
      </c>
      <c r="H19" s="32"/>
      <c r="I19" s="33">
        <f t="shared" si="1"/>
        <v>0.7933272216</v>
      </c>
      <c r="J19" s="33">
        <f t="shared" si="2"/>
        <v>96.37492019</v>
      </c>
      <c r="K19" s="30"/>
      <c r="L19" s="33">
        <f t="shared" si="3"/>
        <v>96.37492019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5">
        <v>45903.0</v>
      </c>
      <c r="F20" s="31" t="s">
        <v>38</v>
      </c>
      <c r="G20" s="52">
        <v>342.9395354447364</v>
      </c>
      <c r="H20" s="32">
        <v>20.0</v>
      </c>
      <c r="I20" s="32">
        <f t="shared" si="1"/>
        <v>2.846398144</v>
      </c>
      <c r="J20" s="33">
        <f t="shared" si="2"/>
        <v>365.7859336</v>
      </c>
      <c r="K20" s="34"/>
      <c r="L20" s="32">
        <f t="shared" si="3"/>
        <v>365.7859336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5">
        <v>45908.0</v>
      </c>
      <c r="F21" s="35" t="s">
        <v>34</v>
      </c>
      <c r="G21" s="52">
        <v>2816.6807246500402</v>
      </c>
      <c r="H21" s="32">
        <v>100.0</v>
      </c>
      <c r="I21" s="33">
        <f t="shared" si="1"/>
        <v>23.37845001</v>
      </c>
      <c r="J21" s="33">
        <f t="shared" si="2"/>
        <v>2940.059175</v>
      </c>
      <c r="K21" s="30"/>
      <c r="L21" s="33">
        <f t="shared" si="3"/>
        <v>2940.059175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1"/>
      <c r="F22" s="31" t="s">
        <v>33</v>
      </c>
      <c r="G22" s="52">
        <v>325.87312715279324</v>
      </c>
      <c r="H22" s="32"/>
      <c r="I22" s="33">
        <f t="shared" si="1"/>
        <v>2.704746955</v>
      </c>
      <c r="J22" s="33">
        <f t="shared" si="2"/>
        <v>328.5778741</v>
      </c>
      <c r="K22" s="30"/>
      <c r="L22" s="33">
        <f t="shared" si="3"/>
        <v>328.5778741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5">
        <v>45908.0</v>
      </c>
      <c r="F23" s="31" t="s">
        <v>38</v>
      </c>
      <c r="G23" s="52">
        <v>50.836917636808316</v>
      </c>
      <c r="H23" s="32">
        <v>10.0</v>
      </c>
      <c r="I23" s="32">
        <f t="shared" si="1"/>
        <v>0.4219464164</v>
      </c>
      <c r="J23" s="33">
        <f t="shared" si="2"/>
        <v>61.25886405</v>
      </c>
      <c r="K23" s="34"/>
      <c r="L23" s="32">
        <f t="shared" si="3"/>
        <v>61.25886405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41">
        <v>18.0</v>
      </c>
      <c r="B24" s="34" t="s">
        <v>41</v>
      </c>
      <c r="C24" s="34" t="s">
        <v>91</v>
      </c>
      <c r="D24" s="30" t="s">
        <v>94</v>
      </c>
      <c r="E24" s="35"/>
      <c r="F24" s="35" t="s">
        <v>34</v>
      </c>
      <c r="G24" s="52">
        <v>398.96503673314123</v>
      </c>
      <c r="H24" s="32"/>
      <c r="I24" s="33">
        <f t="shared" si="1"/>
        <v>3.311409805</v>
      </c>
      <c r="J24" s="33">
        <f t="shared" si="2"/>
        <v>402.2764465</v>
      </c>
      <c r="K24" s="30"/>
      <c r="L24" s="33">
        <f t="shared" si="3"/>
        <v>402.2764465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5">
        <v>45903.0</v>
      </c>
      <c r="F25" s="31" t="s">
        <v>39</v>
      </c>
      <c r="G25" s="52">
        <v>859.1830539558943</v>
      </c>
      <c r="H25" s="32">
        <v>20.0</v>
      </c>
      <c r="I25" s="33">
        <f t="shared" si="1"/>
        <v>7.131219348</v>
      </c>
      <c r="J25" s="33">
        <f t="shared" si="2"/>
        <v>886.3142733</v>
      </c>
      <c r="K25" s="30"/>
      <c r="L25" s="33">
        <f t="shared" si="3"/>
        <v>886.3142733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/>
      <c r="F26" s="31" t="s">
        <v>34</v>
      </c>
      <c r="G26" s="52">
        <v>89.54117473953418</v>
      </c>
      <c r="H26" s="32"/>
      <c r="I26" s="32">
        <f t="shared" si="1"/>
        <v>0.7431917503</v>
      </c>
      <c r="J26" s="33">
        <f t="shared" si="2"/>
        <v>90.28436649</v>
      </c>
      <c r="K26" s="34"/>
      <c r="L26" s="32">
        <f t="shared" si="3"/>
        <v>90.28436649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/>
      <c r="F27" s="35" t="s">
        <v>38</v>
      </c>
      <c r="G27" s="52">
        <v>131.4340124821155</v>
      </c>
      <c r="H27" s="32"/>
      <c r="I27" s="33">
        <f t="shared" si="1"/>
        <v>1.090902304</v>
      </c>
      <c r="J27" s="33">
        <f t="shared" si="2"/>
        <v>132.5249148</v>
      </c>
      <c r="K27" s="30"/>
      <c r="L27" s="33">
        <f t="shared" si="3"/>
        <v>132.5249148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/>
      <c r="F28" s="31" t="s">
        <v>38</v>
      </c>
      <c r="G28" s="52">
        <v>154.74098344472247</v>
      </c>
      <c r="H28" s="32"/>
      <c r="I28" s="33">
        <f t="shared" si="1"/>
        <v>1.284350163</v>
      </c>
      <c r="J28" s="33">
        <f t="shared" si="2"/>
        <v>156.0253336</v>
      </c>
      <c r="K28" s="30"/>
      <c r="L28" s="33">
        <f t="shared" si="3"/>
        <v>156.0253336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5"/>
      <c r="F29" s="31" t="s">
        <v>39</v>
      </c>
      <c r="G29" s="52">
        <v>1276.4912539229235</v>
      </c>
      <c r="H29" s="32"/>
      <c r="I29" s="33">
        <f t="shared" si="1"/>
        <v>10.59487741</v>
      </c>
      <c r="J29" s="33">
        <f t="shared" si="2"/>
        <v>1287.086131</v>
      </c>
      <c r="K29" s="30"/>
      <c r="L29" s="33">
        <f t="shared" si="3"/>
        <v>1287.086131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/>
      <c r="F30" s="31" t="s">
        <v>40</v>
      </c>
      <c r="G30" s="52">
        <v>729.524340126905</v>
      </c>
      <c r="H30" s="39"/>
      <c r="I30" s="33">
        <f t="shared" si="1"/>
        <v>6.055052023</v>
      </c>
      <c r="J30" s="33">
        <f t="shared" si="2"/>
        <v>735.5793921</v>
      </c>
      <c r="K30" s="30"/>
      <c r="L30" s="33">
        <f t="shared" si="3"/>
        <v>735.5793921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/>
      <c r="F31" s="31" t="s">
        <v>39</v>
      </c>
      <c r="G31" s="52">
        <v>47.92344082037248</v>
      </c>
      <c r="H31" s="39"/>
      <c r="I31" s="33">
        <f t="shared" si="1"/>
        <v>0.3977645588</v>
      </c>
      <c r="J31" s="33">
        <f t="shared" si="2"/>
        <v>48.32120538</v>
      </c>
      <c r="K31" s="30"/>
      <c r="L31" s="33">
        <f t="shared" si="3"/>
        <v>48.32120538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/>
      <c r="F32" s="31" t="s">
        <v>33</v>
      </c>
      <c r="G32" s="52">
        <v>73.48408066401007</v>
      </c>
      <c r="H32" s="39"/>
      <c r="I32" s="33">
        <f t="shared" si="1"/>
        <v>0.6099178695</v>
      </c>
      <c r="J32" s="33">
        <f t="shared" si="2"/>
        <v>74.09399853</v>
      </c>
      <c r="K32" s="30"/>
      <c r="L32" s="33">
        <f t="shared" si="3"/>
        <v>74.09399853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/>
      <c r="F33" s="31" t="s">
        <v>38</v>
      </c>
      <c r="G33" s="52">
        <v>247.94595527942533</v>
      </c>
      <c r="H33" s="32"/>
      <c r="I33" s="33">
        <f t="shared" si="1"/>
        <v>2.057951429</v>
      </c>
      <c r="J33" s="33">
        <f t="shared" si="2"/>
        <v>250.0039067</v>
      </c>
      <c r="K33" s="30"/>
      <c r="L33" s="33">
        <f t="shared" si="3"/>
        <v>250.0039067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/>
      <c r="F34" s="31" t="s">
        <v>39</v>
      </c>
      <c r="G34" s="52">
        <v>75.50101361528057</v>
      </c>
      <c r="H34" s="32"/>
      <c r="I34" s="33">
        <f t="shared" si="1"/>
        <v>0.626658413</v>
      </c>
      <c r="J34" s="33">
        <f t="shared" si="2"/>
        <v>76.12767203</v>
      </c>
      <c r="K34" s="30"/>
      <c r="L34" s="33">
        <f t="shared" si="3"/>
        <v>76.12767203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5"/>
      <c r="F35" s="31"/>
      <c r="G35" s="52">
        <v>2086.653172750271</v>
      </c>
      <c r="H35" s="32"/>
      <c r="I35" s="33">
        <f t="shared" si="1"/>
        <v>17.31922133</v>
      </c>
      <c r="J35" s="33">
        <f t="shared" si="2"/>
        <v>2103.972394</v>
      </c>
      <c r="K35" s="30"/>
      <c r="L35" s="33">
        <f t="shared" si="3"/>
        <v>2103.972394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102</v>
      </c>
      <c r="C36" s="30"/>
      <c r="D36" s="30" t="s">
        <v>94</v>
      </c>
      <c r="E36" s="31"/>
      <c r="F36" s="31"/>
      <c r="G36" s="52">
        <v>17.893531713553642</v>
      </c>
      <c r="H36" s="32"/>
      <c r="I36" s="33">
        <f t="shared" si="1"/>
        <v>0.1485163132</v>
      </c>
      <c r="J36" s="33">
        <f t="shared" si="2"/>
        <v>18.04204803</v>
      </c>
      <c r="K36" s="30"/>
      <c r="L36" s="33">
        <f t="shared" si="3"/>
        <v>18.04204803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41">
        <v>31.0</v>
      </c>
      <c r="B37" s="30" t="s">
        <v>104</v>
      </c>
      <c r="C37" s="30" t="s">
        <v>93</v>
      </c>
      <c r="D37" s="30" t="s">
        <v>94</v>
      </c>
      <c r="E37" s="35">
        <v>45905.0</v>
      </c>
      <c r="F37" s="31"/>
      <c r="G37" s="52">
        <v>385.4851871385467</v>
      </c>
      <c r="H37" s="32">
        <v>20.0</v>
      </c>
      <c r="I37" s="33">
        <f t="shared" si="1"/>
        <v>3.199527053</v>
      </c>
      <c r="J37" s="33">
        <f t="shared" si="2"/>
        <v>408.6847142</v>
      </c>
      <c r="K37" s="30"/>
      <c r="L37" s="33">
        <f t="shared" si="3"/>
        <v>408.6847142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41">
        <v>32.0</v>
      </c>
      <c r="B38" s="30" t="s">
        <v>190</v>
      </c>
      <c r="C38" s="34"/>
      <c r="D38" s="34" t="s">
        <v>94</v>
      </c>
      <c r="E38" s="35">
        <v>45908.0</v>
      </c>
      <c r="F38" s="35"/>
      <c r="G38" s="52">
        <v>328.7623124633937</v>
      </c>
      <c r="H38" s="32">
        <v>10.0</v>
      </c>
      <c r="I38" s="32">
        <f t="shared" si="1"/>
        <v>2.728727193</v>
      </c>
      <c r="J38" s="32">
        <f t="shared" si="2"/>
        <v>341.4910397</v>
      </c>
      <c r="K38" s="34"/>
      <c r="L38" s="32">
        <f t="shared" si="3"/>
        <v>341.4910397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175</v>
      </c>
      <c r="C39" s="34"/>
      <c r="D39" s="34" t="s">
        <v>94</v>
      </c>
      <c r="E39" s="35">
        <v>45908.0</v>
      </c>
      <c r="F39" s="35"/>
      <c r="G39" s="52">
        <v>712.3753575912643</v>
      </c>
      <c r="H39" s="32">
        <v>50.0</v>
      </c>
      <c r="I39" s="32">
        <f t="shared" si="1"/>
        <v>5.912715468</v>
      </c>
      <c r="J39" s="32">
        <f t="shared" si="2"/>
        <v>768.2880731</v>
      </c>
      <c r="K39" s="34"/>
      <c r="L39" s="32">
        <f t="shared" si="3"/>
        <v>768.2880731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108</v>
      </c>
      <c r="C40" s="34"/>
      <c r="D40" s="34" t="s">
        <v>94</v>
      </c>
      <c r="E40" s="35"/>
      <c r="F40" s="35"/>
      <c r="G40" s="52">
        <v>64.60566777404571</v>
      </c>
      <c r="H40" s="32"/>
      <c r="I40" s="32">
        <f t="shared" si="1"/>
        <v>0.5362270425</v>
      </c>
      <c r="J40" s="33">
        <f t="shared" si="2"/>
        <v>65.14189482</v>
      </c>
      <c r="K40" s="34"/>
      <c r="L40" s="32">
        <f t="shared" si="3"/>
        <v>65.14189482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111</v>
      </c>
      <c r="C41" s="34"/>
      <c r="D41" s="34" t="s">
        <v>94</v>
      </c>
      <c r="E41" s="35"/>
      <c r="F41" s="35"/>
      <c r="G41" s="52">
        <v>69.59197297951862</v>
      </c>
      <c r="H41" s="32"/>
      <c r="I41" s="32">
        <f t="shared" si="1"/>
        <v>0.5776133757</v>
      </c>
      <c r="J41" s="33">
        <f t="shared" si="2"/>
        <v>70.16958636</v>
      </c>
      <c r="K41" s="34"/>
      <c r="L41" s="32">
        <f t="shared" si="3"/>
        <v>70.16958636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4" t="s">
        <v>112</v>
      </c>
      <c r="C42" s="34"/>
      <c r="D42" s="34" t="s">
        <v>94</v>
      </c>
      <c r="E42" s="35"/>
      <c r="F42" s="35"/>
      <c r="G42" s="52">
        <v>23.889865200446295</v>
      </c>
      <c r="H42" s="32"/>
      <c r="I42" s="32">
        <f t="shared" si="1"/>
        <v>0.1982858812</v>
      </c>
      <c r="J42" s="33">
        <f t="shared" si="2"/>
        <v>24.08815108</v>
      </c>
      <c r="K42" s="34"/>
      <c r="L42" s="32">
        <f t="shared" si="3"/>
        <v>24.08815108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41">
        <v>37.0</v>
      </c>
      <c r="B43" s="34" t="s">
        <v>116</v>
      </c>
      <c r="C43" s="34"/>
      <c r="D43" s="34" t="s">
        <v>94</v>
      </c>
      <c r="E43" s="35"/>
      <c r="F43" s="35"/>
      <c r="G43" s="52">
        <v>11.700531134888644</v>
      </c>
      <c r="H43" s="32"/>
      <c r="I43" s="32">
        <f t="shared" si="1"/>
        <v>0.09711440842</v>
      </c>
      <c r="J43" s="33">
        <f t="shared" si="2"/>
        <v>11.79764554</v>
      </c>
      <c r="K43" s="34"/>
      <c r="L43" s="32">
        <f t="shared" si="3"/>
        <v>11.79764554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118</v>
      </c>
      <c r="C44" s="30"/>
      <c r="D44" s="30" t="s">
        <v>94</v>
      </c>
      <c r="E44" s="31"/>
      <c r="F44" s="31"/>
      <c r="G44" s="52">
        <v>23.401062269777288</v>
      </c>
      <c r="H44" s="32"/>
      <c r="I44" s="33">
        <f t="shared" si="1"/>
        <v>0.1942288168</v>
      </c>
      <c r="J44" s="33">
        <f t="shared" si="2"/>
        <v>23.59529109</v>
      </c>
      <c r="K44" s="30"/>
      <c r="L44" s="33">
        <f t="shared" si="3"/>
        <v>23.59529109</v>
      </c>
      <c r="M44" s="4">
        <f>210.72+106.7</f>
        <v>317.42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0" t="s">
        <v>176</v>
      </c>
      <c r="C45" s="34"/>
      <c r="D45" s="34" t="s">
        <v>94</v>
      </c>
      <c r="E45" s="35"/>
      <c r="F45" s="35"/>
      <c r="G45" s="32">
        <v>225.38403058156234</v>
      </c>
      <c r="H45" s="32"/>
      <c r="I45" s="32">
        <f t="shared" si="1"/>
        <v>1.870687454</v>
      </c>
      <c r="J45" s="32">
        <f t="shared" si="2"/>
        <v>227.254718</v>
      </c>
      <c r="K45" s="34"/>
      <c r="L45" s="32">
        <f t="shared" si="3"/>
        <v>227.254718</v>
      </c>
      <c r="M45" s="65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41">
        <v>40.0</v>
      </c>
      <c r="B46" s="30" t="s">
        <v>121</v>
      </c>
      <c r="C46" s="30"/>
      <c r="D46" s="30" t="s">
        <v>94</v>
      </c>
      <c r="E46" s="31"/>
      <c r="F46" s="31"/>
      <c r="G46" s="52">
        <v>11.604216140919016</v>
      </c>
      <c r="H46" s="32"/>
      <c r="I46" s="33">
        <f t="shared" si="1"/>
        <v>0.09631499397</v>
      </c>
      <c r="J46" s="33">
        <f t="shared" si="2"/>
        <v>11.70053113</v>
      </c>
      <c r="K46" s="30"/>
      <c r="L46" s="33">
        <f t="shared" si="3"/>
        <v>11.70053113</v>
      </c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41">
        <v>41.0</v>
      </c>
      <c r="B47" s="34" t="s">
        <v>161</v>
      </c>
      <c r="C47" s="34"/>
      <c r="D47" s="34" t="s">
        <v>94</v>
      </c>
      <c r="E47" s="35"/>
      <c r="F47" s="35"/>
      <c r="G47" s="64">
        <v>108.57687789773578</v>
      </c>
      <c r="H47" s="32"/>
      <c r="I47" s="32">
        <f t="shared" si="1"/>
        <v>0.9011880866</v>
      </c>
      <c r="J47" s="32">
        <f t="shared" si="2"/>
        <v>109.478066</v>
      </c>
      <c r="K47" s="12"/>
      <c r="L47" s="32">
        <f t="shared" si="3"/>
        <v>109.478066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30.0" customHeight="1">
      <c r="A48" s="66">
        <v>42.0</v>
      </c>
      <c r="B48" s="67" t="s">
        <v>125</v>
      </c>
      <c r="C48" s="67"/>
      <c r="D48" s="68" t="s">
        <v>94</v>
      </c>
      <c r="E48" s="69"/>
      <c r="F48" s="69"/>
      <c r="G48" s="70">
        <v>-0.001818975090884578</v>
      </c>
      <c r="H48" s="71"/>
      <c r="I48" s="72">
        <v>0.0</v>
      </c>
      <c r="J48" s="73">
        <f t="shared" si="2"/>
        <v>-0.001818975091</v>
      </c>
      <c r="K48" s="67"/>
      <c r="L48" s="72">
        <f t="shared" si="3"/>
        <v>-0.001818975091</v>
      </c>
      <c r="M48" s="74"/>
      <c r="N48" s="74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</row>
    <row r="49" ht="30.0" customHeight="1">
      <c r="A49" s="41">
        <v>43.0</v>
      </c>
      <c r="B49" s="54" t="s">
        <v>126</v>
      </c>
      <c r="C49" s="13"/>
      <c r="D49" s="30" t="s">
        <v>94</v>
      </c>
      <c r="E49" s="14"/>
      <c r="F49" s="14"/>
      <c r="G49" s="53">
        <v>355.90678874657004</v>
      </c>
      <c r="H49" s="32"/>
      <c r="I49" s="33">
        <f t="shared" ref="I49:I80" si="4">G49*0.83%</f>
        <v>2.954026347</v>
      </c>
      <c r="J49" s="33">
        <f t="shared" si="2"/>
        <v>358.8608151</v>
      </c>
      <c r="K49" s="13"/>
      <c r="L49" s="33">
        <f t="shared" si="3"/>
        <v>358.8608151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41">
        <v>44.0</v>
      </c>
      <c r="B50" s="13" t="s">
        <v>127</v>
      </c>
      <c r="C50" s="13"/>
      <c r="D50" s="30" t="s">
        <v>94</v>
      </c>
      <c r="E50" s="14"/>
      <c r="F50" s="14"/>
      <c r="G50" s="53">
        <v>45.65739218353849</v>
      </c>
      <c r="H50" s="32"/>
      <c r="I50" s="33">
        <f t="shared" si="4"/>
        <v>0.3789563551</v>
      </c>
      <c r="J50" s="33">
        <f t="shared" si="2"/>
        <v>46.03634854</v>
      </c>
      <c r="K50" s="13"/>
      <c r="L50" s="33">
        <f t="shared" si="3"/>
        <v>46.03634854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41">
        <v>45.0</v>
      </c>
      <c r="B51" s="13" t="s">
        <v>128</v>
      </c>
      <c r="C51" s="13"/>
      <c r="D51" s="30" t="s">
        <v>94</v>
      </c>
      <c r="E51" s="35">
        <v>45915.0</v>
      </c>
      <c r="F51" s="14"/>
      <c r="G51" s="53">
        <v>193.27905312277332</v>
      </c>
      <c r="H51" s="32">
        <v>10.0</v>
      </c>
      <c r="I51" s="33">
        <f t="shared" si="4"/>
        <v>1.604216141</v>
      </c>
      <c r="J51" s="33">
        <f t="shared" si="2"/>
        <v>204.8832693</v>
      </c>
      <c r="K51" s="13"/>
      <c r="L51" s="33">
        <f t="shared" si="3"/>
        <v>204.8832693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13" t="s">
        <v>177</v>
      </c>
      <c r="C52" s="13"/>
      <c r="D52" s="30" t="s">
        <v>94</v>
      </c>
      <c r="E52" s="35">
        <v>45910.0</v>
      </c>
      <c r="F52" s="14" t="s">
        <v>101</v>
      </c>
      <c r="G52" s="53">
        <v>1272.28983567345</v>
      </c>
      <c r="H52" s="32">
        <v>10.0</v>
      </c>
      <c r="I52" s="33">
        <f t="shared" si="4"/>
        <v>10.56000564</v>
      </c>
      <c r="J52" s="33">
        <f t="shared" si="2"/>
        <v>1292.849841</v>
      </c>
      <c r="K52" s="13"/>
      <c r="L52" s="33">
        <f t="shared" si="3"/>
        <v>1292.849841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13" t="s">
        <v>132</v>
      </c>
      <c r="C53" s="13"/>
      <c r="D53" s="30" t="s">
        <v>94</v>
      </c>
      <c r="E53" s="14"/>
      <c r="F53" s="14"/>
      <c r="G53" s="53">
        <v>17.026981175097465</v>
      </c>
      <c r="H53" s="32"/>
      <c r="I53" s="33">
        <f t="shared" si="4"/>
        <v>0.1413239438</v>
      </c>
      <c r="J53" s="33">
        <f t="shared" si="2"/>
        <v>17.16830512</v>
      </c>
      <c r="K53" s="13"/>
      <c r="L53" s="33">
        <f t="shared" si="3"/>
        <v>17.16830512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133</v>
      </c>
      <c r="C54" s="13"/>
      <c r="D54" s="30" t="s">
        <v>94</v>
      </c>
      <c r="E54" s="35">
        <v>45910.0</v>
      </c>
      <c r="F54" s="14"/>
      <c r="G54" s="59">
        <v>695.2537304914022</v>
      </c>
      <c r="H54" s="32">
        <v>20.0</v>
      </c>
      <c r="I54" s="33">
        <f t="shared" si="4"/>
        <v>5.770605963</v>
      </c>
      <c r="J54" s="33">
        <f t="shared" si="2"/>
        <v>721.0243365</v>
      </c>
      <c r="K54" s="13"/>
      <c r="L54" s="33">
        <f t="shared" si="3"/>
        <v>721.0243365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30" t="s">
        <v>134</v>
      </c>
      <c r="C55" s="13"/>
      <c r="D55" s="30" t="s">
        <v>94</v>
      </c>
      <c r="E55" s="14"/>
      <c r="F55" s="14" t="s">
        <v>131</v>
      </c>
      <c r="G55" s="53">
        <v>22.73396023930343</v>
      </c>
      <c r="H55" s="32"/>
      <c r="I55" s="33">
        <f t="shared" si="4"/>
        <v>0.18869187</v>
      </c>
      <c r="J55" s="33">
        <f t="shared" si="2"/>
        <v>22.92265211</v>
      </c>
      <c r="K55" s="13"/>
      <c r="L55" s="33">
        <f t="shared" si="3"/>
        <v>22.92265211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30" t="s">
        <v>178</v>
      </c>
      <c r="C56" s="13"/>
      <c r="D56" s="30" t="s">
        <v>94</v>
      </c>
      <c r="E56" s="35">
        <v>45912.0</v>
      </c>
      <c r="F56" s="14" t="s">
        <v>131</v>
      </c>
      <c r="G56" s="53">
        <v>318.35311902655366</v>
      </c>
      <c r="H56" s="32">
        <v>20.0</v>
      </c>
      <c r="I56" s="33">
        <f t="shared" si="4"/>
        <v>2.642330888</v>
      </c>
      <c r="J56" s="33">
        <f t="shared" si="2"/>
        <v>340.9954499</v>
      </c>
      <c r="K56" s="13"/>
      <c r="L56" s="33">
        <f t="shared" si="3"/>
        <v>340.9954499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136</v>
      </c>
      <c r="C57" s="13"/>
      <c r="D57" s="30" t="s">
        <v>94</v>
      </c>
      <c r="E57" s="14"/>
      <c r="F57" s="14" t="s">
        <v>131</v>
      </c>
      <c r="G57" s="53">
        <v>22.73396023930343</v>
      </c>
      <c r="H57" s="32"/>
      <c r="I57" s="33">
        <f t="shared" si="4"/>
        <v>0.18869187</v>
      </c>
      <c r="J57" s="33">
        <f t="shared" si="2"/>
        <v>22.92265211</v>
      </c>
      <c r="K57" s="13"/>
      <c r="L57" s="33">
        <f t="shared" si="3"/>
        <v>22.92265211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138</v>
      </c>
      <c r="C58" s="13"/>
      <c r="D58" s="30" t="s">
        <v>94</v>
      </c>
      <c r="E58" s="14"/>
      <c r="F58" s="14"/>
      <c r="G58" s="53">
        <v>11.320002110891512</v>
      </c>
      <c r="H58" s="32"/>
      <c r="I58" s="33">
        <f t="shared" si="4"/>
        <v>0.09395601752</v>
      </c>
      <c r="J58" s="33">
        <f t="shared" si="2"/>
        <v>11.41395813</v>
      </c>
      <c r="K58" s="13"/>
      <c r="L58" s="33">
        <f t="shared" si="3"/>
        <v>11.41395813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142</v>
      </c>
      <c r="C59" s="13"/>
      <c r="D59" s="30" t="s">
        <v>94</v>
      </c>
      <c r="E59" s="35">
        <v>45915.0</v>
      </c>
      <c r="F59" s="14"/>
      <c r="G59" s="53">
        <v>109.95457716323652</v>
      </c>
      <c r="H59" s="32">
        <v>10.0</v>
      </c>
      <c r="I59" s="33">
        <f t="shared" si="4"/>
        <v>0.9126229905</v>
      </c>
      <c r="J59" s="33">
        <f t="shared" si="2"/>
        <v>120.8672002</v>
      </c>
      <c r="K59" s="13"/>
      <c r="L59" s="33">
        <f t="shared" si="3"/>
        <v>120.8672002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153</v>
      </c>
      <c r="C60" s="13" t="s">
        <v>93</v>
      </c>
      <c r="D60" s="30" t="s">
        <v>94</v>
      </c>
      <c r="E60" s="35">
        <v>45908.0</v>
      </c>
      <c r="F60" s="14"/>
      <c r="G60" s="53">
        <v>668.1092268640766</v>
      </c>
      <c r="H60" s="32">
        <v>25.0</v>
      </c>
      <c r="I60" s="33">
        <f t="shared" si="4"/>
        <v>5.545306583</v>
      </c>
      <c r="J60" s="33">
        <f t="shared" si="2"/>
        <v>698.6545334</v>
      </c>
      <c r="K60" s="13"/>
      <c r="L60" s="33">
        <f t="shared" si="3"/>
        <v>698.6545334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154</v>
      </c>
      <c r="C61" s="13"/>
      <c r="D61" s="30" t="s">
        <v>94</v>
      </c>
      <c r="E61" s="35">
        <v>45908.0</v>
      </c>
      <c r="F61" s="14"/>
      <c r="G61" s="53">
        <v>363.10543557946056</v>
      </c>
      <c r="H61" s="32">
        <v>50.0</v>
      </c>
      <c r="I61" s="33">
        <f t="shared" si="4"/>
        <v>3.013775115</v>
      </c>
      <c r="J61" s="33">
        <f t="shared" si="2"/>
        <v>416.1192107</v>
      </c>
      <c r="K61" s="13"/>
      <c r="L61" s="33">
        <f t="shared" si="3"/>
        <v>416.1192107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3" t="s">
        <v>155</v>
      </c>
      <c r="C62" s="13"/>
      <c r="D62" s="30" t="s">
        <v>94</v>
      </c>
      <c r="E62" s="35">
        <v>45912.0</v>
      </c>
      <c r="F62" s="14"/>
      <c r="G62" s="53">
        <v>176.01852843801174</v>
      </c>
      <c r="H62" s="32">
        <v>30.0</v>
      </c>
      <c r="I62" s="33">
        <f t="shared" si="4"/>
        <v>1.460953786</v>
      </c>
      <c r="J62" s="33">
        <f t="shared" si="2"/>
        <v>207.4794822</v>
      </c>
      <c r="K62" s="13"/>
      <c r="L62" s="33">
        <f t="shared" si="3"/>
        <v>207.4794822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41">
        <v>57.0</v>
      </c>
      <c r="B63" s="13" t="s">
        <v>162</v>
      </c>
      <c r="C63" s="13"/>
      <c r="D63" s="30" t="s">
        <v>94</v>
      </c>
      <c r="E63" s="35">
        <v>45910.0</v>
      </c>
      <c r="F63" s="14"/>
      <c r="G63" s="53">
        <v>82.10701174542714</v>
      </c>
      <c r="H63" s="32">
        <v>10.0</v>
      </c>
      <c r="I63" s="33">
        <f t="shared" si="4"/>
        <v>0.6814881975</v>
      </c>
      <c r="J63" s="33">
        <f t="shared" si="2"/>
        <v>92.78849994</v>
      </c>
      <c r="K63" s="13"/>
      <c r="L63" s="33">
        <f t="shared" si="3"/>
        <v>92.78849994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157</v>
      </c>
      <c r="C64" s="13"/>
      <c r="D64" s="30" t="s">
        <v>94</v>
      </c>
      <c r="E64" s="14"/>
      <c r="F64" s="14"/>
      <c r="G64" s="53">
        <v>25.929017451617984</v>
      </c>
      <c r="H64" s="32"/>
      <c r="I64" s="16">
        <f t="shared" si="4"/>
        <v>0.2152108448</v>
      </c>
      <c r="J64" s="33">
        <f t="shared" si="2"/>
        <v>26.1442283</v>
      </c>
      <c r="K64" s="13"/>
      <c r="L64" s="33">
        <f t="shared" si="3"/>
        <v>26.1442283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2" t="s">
        <v>179</v>
      </c>
      <c r="C65" s="12"/>
      <c r="D65" s="34" t="s">
        <v>94</v>
      </c>
      <c r="E65" s="35">
        <v>45903.0</v>
      </c>
      <c r="F65" s="22"/>
      <c r="G65" s="53">
        <v>358.33649642417674</v>
      </c>
      <c r="H65" s="32">
        <v>50.0</v>
      </c>
      <c r="I65" s="15">
        <f t="shared" si="4"/>
        <v>2.97419292</v>
      </c>
      <c r="J65" s="32">
        <f t="shared" si="2"/>
        <v>411.3106893</v>
      </c>
      <c r="K65" s="12"/>
      <c r="L65" s="32">
        <f t="shared" si="3"/>
        <v>411.3106893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30.0" customHeight="1">
      <c r="A66" s="41">
        <v>60.0</v>
      </c>
      <c r="B66" s="13" t="s">
        <v>160</v>
      </c>
      <c r="C66" s="13"/>
      <c r="D66" s="30" t="s">
        <v>94</v>
      </c>
      <c r="E66" s="35">
        <v>45909.0</v>
      </c>
      <c r="F66" s="14"/>
      <c r="G66" s="53">
        <v>30.58969749401351</v>
      </c>
      <c r="H66" s="32">
        <v>10.0</v>
      </c>
      <c r="I66" s="16">
        <f t="shared" si="4"/>
        <v>0.2538944892</v>
      </c>
      <c r="J66" s="33">
        <f t="shared" si="2"/>
        <v>40.84359198</v>
      </c>
      <c r="K66" s="13"/>
      <c r="L66" s="33">
        <f t="shared" si="3"/>
        <v>40.84359198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30.0" customHeight="1">
      <c r="A67" s="41">
        <v>61.0</v>
      </c>
      <c r="B67" s="13" t="s">
        <v>164</v>
      </c>
      <c r="C67" s="13"/>
      <c r="D67" s="30" t="s">
        <v>94</v>
      </c>
      <c r="E67" s="35">
        <v>45905.0</v>
      </c>
      <c r="F67" s="14"/>
      <c r="G67" s="53">
        <v>101.67383527361663</v>
      </c>
      <c r="H67" s="32">
        <v>20.0</v>
      </c>
      <c r="I67" s="16">
        <f t="shared" si="4"/>
        <v>0.8438928328</v>
      </c>
      <c r="J67" s="33">
        <f t="shared" si="2"/>
        <v>122.5177281</v>
      </c>
      <c r="K67" s="13"/>
      <c r="L67" s="33">
        <f t="shared" si="3"/>
        <v>122.5177281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30.0" customHeight="1">
      <c r="A68" s="41">
        <v>62.0</v>
      </c>
      <c r="B68" s="25" t="s">
        <v>180</v>
      </c>
      <c r="C68" s="13"/>
      <c r="D68" s="30" t="s">
        <v>94</v>
      </c>
      <c r="E68" s="35">
        <v>45901.0</v>
      </c>
      <c r="F68" s="14"/>
      <c r="G68" s="53">
        <v>132.26037225148997</v>
      </c>
      <c r="H68" s="32">
        <v>25.0</v>
      </c>
      <c r="I68" s="16">
        <f t="shared" si="4"/>
        <v>1.09776109</v>
      </c>
      <c r="J68" s="33">
        <f t="shared" si="2"/>
        <v>158.3581333</v>
      </c>
      <c r="K68" s="13"/>
      <c r="L68" s="33">
        <f t="shared" si="3"/>
        <v>158.3581333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30.0" customHeight="1">
      <c r="A69" s="41">
        <v>63.0</v>
      </c>
      <c r="B69" s="13" t="s">
        <v>168</v>
      </c>
      <c r="C69" s="13"/>
      <c r="D69" s="30" t="s">
        <v>94</v>
      </c>
      <c r="E69" s="35">
        <v>45911.0</v>
      </c>
      <c r="F69" s="14"/>
      <c r="G69" s="53">
        <v>50.5830667</v>
      </c>
      <c r="H69" s="32">
        <v>10.0</v>
      </c>
      <c r="I69" s="16">
        <f t="shared" si="4"/>
        <v>0.4198394536</v>
      </c>
      <c r="J69" s="33">
        <f t="shared" si="2"/>
        <v>61.00290615</v>
      </c>
      <c r="K69" s="13"/>
      <c r="L69" s="33">
        <f t="shared" si="3"/>
        <v>61.00290615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30.0" customHeight="1">
      <c r="A70" s="41">
        <v>64.0</v>
      </c>
      <c r="B70" s="13" t="s">
        <v>169</v>
      </c>
      <c r="C70" s="13"/>
      <c r="D70" s="30" t="s">
        <v>94</v>
      </c>
      <c r="E70" s="14"/>
      <c r="F70" s="14"/>
      <c r="G70" s="53">
        <v>60.6660667</v>
      </c>
      <c r="H70" s="32"/>
      <c r="I70" s="16">
        <f t="shared" si="4"/>
        <v>0.5035283536</v>
      </c>
      <c r="J70" s="33">
        <f t="shared" si="2"/>
        <v>61.16959505</v>
      </c>
      <c r="K70" s="13"/>
      <c r="L70" s="33">
        <f t="shared" si="3"/>
        <v>61.16959505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30.0" customHeight="1">
      <c r="A71" s="41">
        <v>65.0</v>
      </c>
      <c r="B71" s="13" t="s">
        <v>181</v>
      </c>
      <c r="C71" s="13"/>
      <c r="D71" s="30" t="s">
        <v>94</v>
      </c>
      <c r="E71" s="35">
        <v>45916.0</v>
      </c>
      <c r="F71" s="14"/>
      <c r="G71" s="53">
        <v>40.4163778</v>
      </c>
      <c r="H71" s="32">
        <v>10.0</v>
      </c>
      <c r="I71" s="16">
        <f t="shared" si="4"/>
        <v>0.3354559357</v>
      </c>
      <c r="J71" s="33">
        <f t="shared" si="2"/>
        <v>50.75183374</v>
      </c>
      <c r="K71" s="13"/>
      <c r="L71" s="33">
        <f t="shared" si="3"/>
        <v>50.75183374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30.0" customHeight="1">
      <c r="A72" s="41">
        <v>66.0</v>
      </c>
      <c r="B72" s="13" t="s">
        <v>171</v>
      </c>
      <c r="C72" s="13"/>
      <c r="D72" s="30" t="s">
        <v>94</v>
      </c>
      <c r="E72" s="35">
        <v>45901.0</v>
      </c>
      <c r="F72" s="14"/>
      <c r="G72" s="53">
        <v>54.6878778</v>
      </c>
      <c r="H72" s="32">
        <v>15.7</v>
      </c>
      <c r="I72" s="16">
        <f t="shared" si="4"/>
        <v>0.4539093857</v>
      </c>
      <c r="J72" s="33">
        <f t="shared" si="2"/>
        <v>70.84178719</v>
      </c>
      <c r="K72" s="13"/>
      <c r="L72" s="33">
        <f t="shared" si="3"/>
        <v>70.84178719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30.0" customHeight="1">
      <c r="A73" s="41">
        <v>67.0</v>
      </c>
      <c r="B73" s="13" t="s">
        <v>182</v>
      </c>
      <c r="C73" s="13"/>
      <c r="D73" s="30" t="s">
        <v>94</v>
      </c>
      <c r="E73" s="35">
        <v>45909.0</v>
      </c>
      <c r="F73" s="14"/>
      <c r="G73" s="53">
        <v>20.083</v>
      </c>
      <c r="H73" s="32">
        <v>10.0</v>
      </c>
      <c r="I73" s="16">
        <f t="shared" si="4"/>
        <v>0.1666889</v>
      </c>
      <c r="J73" s="33">
        <f t="shared" si="2"/>
        <v>30.2496889</v>
      </c>
      <c r="K73" s="13"/>
      <c r="L73" s="33">
        <f t="shared" si="3"/>
        <v>30.2496889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30.0" customHeight="1">
      <c r="A74" s="41">
        <v>68.0</v>
      </c>
      <c r="B74" s="13" t="s">
        <v>183</v>
      </c>
      <c r="C74" s="13"/>
      <c r="D74" s="30" t="s">
        <v>94</v>
      </c>
      <c r="E74" s="14"/>
      <c r="F74" s="14"/>
      <c r="G74" s="53">
        <v>20.083</v>
      </c>
      <c r="H74" s="32"/>
      <c r="I74" s="16">
        <f t="shared" si="4"/>
        <v>0.1666889</v>
      </c>
      <c r="J74" s="33">
        <f t="shared" si="2"/>
        <v>20.2496889</v>
      </c>
      <c r="K74" s="13"/>
      <c r="L74" s="33">
        <f t="shared" si="3"/>
        <v>20.2496889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30.0" customHeight="1">
      <c r="A75" s="41">
        <v>69.0</v>
      </c>
      <c r="B75" s="13" t="s">
        <v>184</v>
      </c>
      <c r="C75" s="13"/>
      <c r="D75" s="30" t="s">
        <v>94</v>
      </c>
      <c r="E75" s="35">
        <v>45909.0</v>
      </c>
      <c r="F75" s="14"/>
      <c r="G75" s="53">
        <v>20.083</v>
      </c>
      <c r="H75" s="32">
        <v>10.0</v>
      </c>
      <c r="I75" s="16">
        <f t="shared" si="4"/>
        <v>0.1666889</v>
      </c>
      <c r="J75" s="33">
        <f t="shared" si="2"/>
        <v>30.2496889</v>
      </c>
      <c r="K75" s="13"/>
      <c r="L75" s="33">
        <f t="shared" si="3"/>
        <v>30.2496889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30.0" customHeight="1">
      <c r="A76" s="41">
        <v>70.0</v>
      </c>
      <c r="B76" s="13" t="s">
        <v>185</v>
      </c>
      <c r="C76" s="13"/>
      <c r="D76" s="30" t="s">
        <v>94</v>
      </c>
      <c r="E76" s="35">
        <v>45907.0</v>
      </c>
      <c r="F76" s="14"/>
      <c r="G76" s="53">
        <v>40.166</v>
      </c>
      <c r="H76" s="32">
        <v>20.0</v>
      </c>
      <c r="I76" s="16">
        <f t="shared" si="4"/>
        <v>0.3333778</v>
      </c>
      <c r="J76" s="33">
        <f t="shared" si="2"/>
        <v>60.4993778</v>
      </c>
      <c r="K76" s="13"/>
      <c r="L76" s="33">
        <f t="shared" si="3"/>
        <v>60.4993778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30.0" customHeight="1">
      <c r="A77" s="41">
        <v>71.0</v>
      </c>
      <c r="B77" s="13" t="s">
        <v>186</v>
      </c>
      <c r="C77" s="13"/>
      <c r="D77" s="30" t="s">
        <v>94</v>
      </c>
      <c r="E77" s="35">
        <v>45925.0</v>
      </c>
      <c r="F77" s="14"/>
      <c r="G77" s="53">
        <v>551.245</v>
      </c>
      <c r="H77" s="32">
        <v>50.0</v>
      </c>
      <c r="I77" s="16">
        <f t="shared" si="4"/>
        <v>4.5753335</v>
      </c>
      <c r="J77" s="33">
        <f t="shared" si="2"/>
        <v>605.8203335</v>
      </c>
      <c r="K77" s="13"/>
      <c r="L77" s="33">
        <f t="shared" si="3"/>
        <v>605.8203335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30.0" customHeight="1">
      <c r="A78" s="41">
        <v>72.0</v>
      </c>
      <c r="B78" s="13" t="s">
        <v>187</v>
      </c>
      <c r="C78" s="13"/>
      <c r="D78" s="30" t="s">
        <v>94</v>
      </c>
      <c r="E78" s="35">
        <v>45910.0</v>
      </c>
      <c r="F78" s="14"/>
      <c r="G78" s="53">
        <v>20.083</v>
      </c>
      <c r="H78" s="32">
        <v>10.0</v>
      </c>
      <c r="I78" s="16">
        <f t="shared" si="4"/>
        <v>0.1666889</v>
      </c>
      <c r="J78" s="33">
        <f t="shared" si="2"/>
        <v>30.2496889</v>
      </c>
      <c r="K78" s="13"/>
      <c r="L78" s="33">
        <f t="shared" si="3"/>
        <v>30.2496889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30.0" customHeight="1">
      <c r="A79" s="41">
        <v>73.0</v>
      </c>
      <c r="B79" s="13" t="s">
        <v>191</v>
      </c>
      <c r="C79" s="13"/>
      <c r="D79" s="30" t="s">
        <v>94</v>
      </c>
      <c r="E79" s="35">
        <v>45904.0</v>
      </c>
      <c r="F79" s="14"/>
      <c r="G79" s="53">
        <v>50.0</v>
      </c>
      <c r="H79" s="32">
        <v>50.0</v>
      </c>
      <c r="I79" s="16">
        <f t="shared" si="4"/>
        <v>0.415</v>
      </c>
      <c r="J79" s="33">
        <f t="shared" si="2"/>
        <v>100.415</v>
      </c>
      <c r="K79" s="13"/>
      <c r="L79" s="33">
        <f t="shared" si="3"/>
        <v>100.415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30.0" customHeight="1">
      <c r="A80" s="41">
        <v>74.0</v>
      </c>
      <c r="B80" s="13" t="s">
        <v>192</v>
      </c>
      <c r="C80" s="13"/>
      <c r="D80" s="30" t="s">
        <v>94</v>
      </c>
      <c r="E80" s="35">
        <v>45904.0</v>
      </c>
      <c r="F80" s="14"/>
      <c r="G80" s="53">
        <v>50.0</v>
      </c>
      <c r="H80" s="32">
        <v>50.0</v>
      </c>
      <c r="I80" s="16">
        <f t="shared" si="4"/>
        <v>0.415</v>
      </c>
      <c r="J80" s="33">
        <f t="shared" si="2"/>
        <v>100.415</v>
      </c>
      <c r="K80" s="13"/>
      <c r="L80" s="33">
        <f t="shared" si="3"/>
        <v>100.415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0" customHeight="1">
      <c r="A81" s="17"/>
      <c r="B81" s="13"/>
      <c r="C81" s="13"/>
      <c r="D81" s="13"/>
      <c r="E81" s="13"/>
      <c r="F81" s="13"/>
      <c r="G81" s="55">
        <f t="shared" ref="G81:J81" si="5">SUM(G7:G80)</f>
        <v>58329.97998</v>
      </c>
      <c r="H81" s="18">
        <f t="shared" si="5"/>
        <v>989.38</v>
      </c>
      <c r="I81" s="18">
        <f t="shared" si="5"/>
        <v>484.1388489</v>
      </c>
      <c r="J81" s="18">
        <f t="shared" si="5"/>
        <v>59803.49883</v>
      </c>
      <c r="K81" s="55">
        <f>SUM(K7:K72)</f>
        <v>0</v>
      </c>
      <c r="L81" s="55">
        <f>SUM(L7:L80)</f>
        <v>59803.49883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2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81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194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/>
      <c r="F7" s="31"/>
      <c r="G7" s="52">
        <v>5164.232782821348</v>
      </c>
      <c r="H7" s="32"/>
      <c r="I7" s="33">
        <f t="shared" ref="I7:I47" si="1">G7*0.83%</f>
        <v>42.8631321</v>
      </c>
      <c r="J7" s="33">
        <f t="shared" ref="J7:J81" si="2">G7+H7+I7</f>
        <v>5207.095915</v>
      </c>
      <c r="K7" s="30"/>
      <c r="L7" s="33">
        <f t="shared" ref="L7:L81" si="3">J7-K7</f>
        <v>5207.095915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5">
        <v>45934.0</v>
      </c>
      <c r="F8" s="31"/>
      <c r="G8" s="52">
        <v>8848.490798242263</v>
      </c>
      <c r="H8" s="32">
        <v>80.0</v>
      </c>
      <c r="I8" s="33">
        <f t="shared" si="1"/>
        <v>73.44247363</v>
      </c>
      <c r="J8" s="33">
        <f t="shared" si="2"/>
        <v>9001.933272</v>
      </c>
      <c r="K8" s="30"/>
      <c r="L8" s="33">
        <f t="shared" si="3"/>
        <v>9001.933272</v>
      </c>
      <c r="M8" s="4"/>
      <c r="N8" s="4" t="s">
        <v>195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5"/>
      <c r="F9" s="31"/>
      <c r="G9" s="52">
        <v>8905.6433415734</v>
      </c>
      <c r="H9" s="32"/>
      <c r="I9" s="33">
        <f t="shared" si="1"/>
        <v>73.91683974</v>
      </c>
      <c r="J9" s="33">
        <f t="shared" si="2"/>
        <v>8979.560181</v>
      </c>
      <c r="K9" s="30"/>
      <c r="L9" s="33">
        <f t="shared" si="3"/>
        <v>8979.560181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/>
      <c r="F10" s="35"/>
      <c r="G10" s="52">
        <v>220.5572183218341</v>
      </c>
      <c r="H10" s="32"/>
      <c r="I10" s="32">
        <f t="shared" si="1"/>
        <v>1.830624912</v>
      </c>
      <c r="J10" s="33">
        <f t="shared" si="2"/>
        <v>222.3878432</v>
      </c>
      <c r="K10" s="51"/>
      <c r="L10" s="32">
        <f t="shared" si="3"/>
        <v>222.3878432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189</v>
      </c>
      <c r="C11" s="34" t="s">
        <v>91</v>
      </c>
      <c r="D11" s="34" t="s">
        <v>92</v>
      </c>
      <c r="E11" s="35"/>
      <c r="F11" s="35"/>
      <c r="G11" s="52">
        <v>701.6359226364109</v>
      </c>
      <c r="H11" s="32"/>
      <c r="I11" s="32">
        <f t="shared" si="1"/>
        <v>5.823578158</v>
      </c>
      <c r="J11" s="33">
        <f t="shared" si="2"/>
        <v>707.4595008</v>
      </c>
      <c r="K11" s="34"/>
      <c r="L11" s="32">
        <f t="shared" si="3"/>
        <v>707.4595008</v>
      </c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37</v>
      </c>
      <c r="C12" s="34" t="s">
        <v>91</v>
      </c>
      <c r="D12" s="34" t="s">
        <v>92</v>
      </c>
      <c r="E12" s="35"/>
      <c r="F12" s="35"/>
      <c r="G12" s="52">
        <v>680.2867501063242</v>
      </c>
      <c r="H12" s="32"/>
      <c r="I12" s="32">
        <f t="shared" si="1"/>
        <v>5.646380026</v>
      </c>
      <c r="J12" s="33">
        <f t="shared" si="2"/>
        <v>685.9331301</v>
      </c>
      <c r="K12" s="34"/>
      <c r="L12" s="32">
        <f t="shared" si="3"/>
        <v>685.9331301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45941.0</v>
      </c>
      <c r="F13" s="35"/>
      <c r="G13" s="52">
        <v>8859.402334596003</v>
      </c>
      <c r="H13" s="32">
        <v>67.0</v>
      </c>
      <c r="I13" s="32">
        <f t="shared" si="1"/>
        <v>73.53303938</v>
      </c>
      <c r="J13" s="33">
        <f t="shared" si="2"/>
        <v>8999.935374</v>
      </c>
      <c r="K13" s="34"/>
      <c r="L13" s="32">
        <f t="shared" si="3"/>
        <v>8999.935374</v>
      </c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41">
        <v>8.0</v>
      </c>
      <c r="B14" s="34" t="s">
        <v>173</v>
      </c>
      <c r="C14" s="34" t="s">
        <v>91</v>
      </c>
      <c r="D14" s="34" t="s">
        <v>92</v>
      </c>
      <c r="E14" s="35">
        <v>45939.0</v>
      </c>
      <c r="F14" s="35"/>
      <c r="G14" s="52">
        <v>2559.7661514552506</v>
      </c>
      <c r="H14" s="32">
        <v>50.0</v>
      </c>
      <c r="I14" s="32">
        <f t="shared" si="1"/>
        <v>21.24605906</v>
      </c>
      <c r="J14" s="33">
        <f t="shared" si="2"/>
        <v>2631.012211</v>
      </c>
      <c r="K14" s="51"/>
      <c r="L14" s="32">
        <f t="shared" si="3"/>
        <v>2631.012211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41">
        <v>9.0</v>
      </c>
      <c r="B15" s="34" t="s">
        <v>174</v>
      </c>
      <c r="C15" s="30" t="s">
        <v>91</v>
      </c>
      <c r="D15" s="30" t="s">
        <v>94</v>
      </c>
      <c r="E15" s="35">
        <v>45931.0</v>
      </c>
      <c r="F15" s="31"/>
      <c r="G15" s="52">
        <v>4258.837851813371</v>
      </c>
      <c r="H15" s="32">
        <v>20.0</v>
      </c>
      <c r="I15" s="33">
        <f t="shared" si="1"/>
        <v>35.34835417</v>
      </c>
      <c r="J15" s="33">
        <f t="shared" si="2"/>
        <v>4314.186206</v>
      </c>
      <c r="K15" s="30"/>
      <c r="L15" s="33">
        <f t="shared" si="3"/>
        <v>4314.186206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41">
        <v>10.0</v>
      </c>
      <c r="B16" s="30" t="s">
        <v>49</v>
      </c>
      <c r="C16" s="30" t="s">
        <v>91</v>
      </c>
      <c r="D16" s="30" t="s">
        <v>94</v>
      </c>
      <c r="E16" s="35">
        <v>45936.0</v>
      </c>
      <c r="F16" s="31" t="s">
        <v>38</v>
      </c>
      <c r="G16" s="52">
        <v>273.7991274040471</v>
      </c>
      <c r="H16" s="32">
        <v>10.0</v>
      </c>
      <c r="I16" s="33">
        <f t="shared" si="1"/>
        <v>2.272532757</v>
      </c>
      <c r="J16" s="33">
        <f t="shared" si="2"/>
        <v>286.0716602</v>
      </c>
      <c r="K16" s="30"/>
      <c r="L16" s="33">
        <f t="shared" si="3"/>
        <v>286.0716602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5">
        <v>45939.0</v>
      </c>
      <c r="F17" s="31" t="s">
        <v>39</v>
      </c>
      <c r="G17" s="52">
        <v>538.6219980492582</v>
      </c>
      <c r="H17" s="32">
        <v>20.0</v>
      </c>
      <c r="I17" s="33">
        <f t="shared" si="1"/>
        <v>4.470562584</v>
      </c>
      <c r="J17" s="33">
        <f t="shared" si="2"/>
        <v>563.0925606</v>
      </c>
      <c r="K17" s="30"/>
      <c r="L17" s="33">
        <f t="shared" si="3"/>
        <v>563.0925606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1"/>
      <c r="F18" s="31" t="s">
        <v>34</v>
      </c>
      <c r="G18" s="52">
        <v>121.75229202486238</v>
      </c>
      <c r="H18" s="32"/>
      <c r="I18" s="33">
        <f t="shared" si="1"/>
        <v>1.010544024</v>
      </c>
      <c r="J18" s="33">
        <f t="shared" si="2"/>
        <v>122.762836</v>
      </c>
      <c r="K18" s="30"/>
      <c r="L18" s="33">
        <f t="shared" si="3"/>
        <v>122.762836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1"/>
      <c r="F19" s="31" t="s">
        <v>38</v>
      </c>
      <c r="G19" s="52">
        <v>96.37492018865147</v>
      </c>
      <c r="H19" s="32"/>
      <c r="I19" s="33">
        <f t="shared" si="1"/>
        <v>0.7999118376</v>
      </c>
      <c r="J19" s="33">
        <f t="shared" si="2"/>
        <v>97.17483203</v>
      </c>
      <c r="K19" s="30"/>
      <c r="L19" s="33">
        <f t="shared" si="3"/>
        <v>97.17483203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1"/>
      <c r="F20" s="31" t="s">
        <v>38</v>
      </c>
      <c r="G20" s="52">
        <v>365.7859335889277</v>
      </c>
      <c r="H20" s="32"/>
      <c r="I20" s="32">
        <f t="shared" si="1"/>
        <v>3.036023249</v>
      </c>
      <c r="J20" s="33">
        <f t="shared" si="2"/>
        <v>368.8219568</v>
      </c>
      <c r="K20" s="34"/>
      <c r="L20" s="32">
        <f t="shared" si="3"/>
        <v>368.8219568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1">
        <v>45949.0</v>
      </c>
      <c r="F21" s="35" t="s">
        <v>34</v>
      </c>
      <c r="G21" s="52">
        <v>2940.0591746646355</v>
      </c>
      <c r="H21" s="32">
        <v>100.0</v>
      </c>
      <c r="I21" s="33">
        <f t="shared" si="1"/>
        <v>24.40249115</v>
      </c>
      <c r="J21" s="33">
        <f t="shared" si="2"/>
        <v>3064.461666</v>
      </c>
      <c r="K21" s="30"/>
      <c r="L21" s="33">
        <f t="shared" si="3"/>
        <v>3064.461666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1">
        <v>45931.0</v>
      </c>
      <c r="F22" s="31" t="s">
        <v>33</v>
      </c>
      <c r="G22" s="52">
        <v>328.57787410816144</v>
      </c>
      <c r="H22" s="32">
        <v>500.0</v>
      </c>
      <c r="I22" s="33">
        <f t="shared" si="1"/>
        <v>2.727196355</v>
      </c>
      <c r="J22" s="33">
        <f t="shared" si="2"/>
        <v>831.3050705</v>
      </c>
      <c r="K22" s="30"/>
      <c r="L22" s="33">
        <f t="shared" si="3"/>
        <v>831.3050705</v>
      </c>
      <c r="M22" s="4"/>
      <c r="N22" s="4" t="s">
        <v>196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1">
        <v>45941.0</v>
      </c>
      <c r="F23" s="31" t="s">
        <v>38</v>
      </c>
      <c r="G23" s="52">
        <v>61.258864053193825</v>
      </c>
      <c r="H23" s="32">
        <v>10.0</v>
      </c>
      <c r="I23" s="32">
        <f t="shared" si="1"/>
        <v>0.5084485716</v>
      </c>
      <c r="J23" s="33">
        <f t="shared" si="2"/>
        <v>71.76731262</v>
      </c>
      <c r="K23" s="34"/>
      <c r="L23" s="32">
        <f t="shared" si="3"/>
        <v>71.76731262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66">
        <v>18.0</v>
      </c>
      <c r="B24" s="76" t="s">
        <v>41</v>
      </c>
      <c r="C24" s="76" t="s">
        <v>91</v>
      </c>
      <c r="D24" s="68" t="s">
        <v>94</v>
      </c>
      <c r="E24" s="77"/>
      <c r="F24" s="77" t="s">
        <v>34</v>
      </c>
      <c r="G24" s="78">
        <v>402.2764465380263</v>
      </c>
      <c r="H24" s="71"/>
      <c r="I24" s="72">
        <f t="shared" si="1"/>
        <v>3.338894506</v>
      </c>
      <c r="J24" s="72">
        <f t="shared" si="2"/>
        <v>405.615341</v>
      </c>
      <c r="K24" s="68">
        <v>-40.62</v>
      </c>
      <c r="L24" s="72">
        <f t="shared" si="3"/>
        <v>446.235341</v>
      </c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1">
        <v>45937.0</v>
      </c>
      <c r="F25" s="31" t="s">
        <v>39</v>
      </c>
      <c r="G25" s="52">
        <v>886.3142733037282</v>
      </c>
      <c r="H25" s="32">
        <v>20.0</v>
      </c>
      <c r="I25" s="33">
        <f t="shared" si="1"/>
        <v>7.356408468</v>
      </c>
      <c r="J25" s="33">
        <f t="shared" si="2"/>
        <v>913.6706818</v>
      </c>
      <c r="K25" s="30"/>
      <c r="L25" s="33">
        <f t="shared" si="3"/>
        <v>913.6706818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/>
      <c r="F26" s="31" t="s">
        <v>34</v>
      </c>
      <c r="G26" s="52">
        <v>90.28436648987231</v>
      </c>
      <c r="H26" s="32"/>
      <c r="I26" s="32">
        <f t="shared" si="1"/>
        <v>0.7493602419</v>
      </c>
      <c r="J26" s="33">
        <f t="shared" si="2"/>
        <v>91.03372673</v>
      </c>
      <c r="K26" s="34"/>
      <c r="L26" s="32">
        <f t="shared" si="3"/>
        <v>91.03372673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/>
      <c r="F27" s="35" t="s">
        <v>38</v>
      </c>
      <c r="G27" s="52">
        <v>132.52491478571704</v>
      </c>
      <c r="H27" s="32"/>
      <c r="I27" s="33">
        <f t="shared" si="1"/>
        <v>1.099956793</v>
      </c>
      <c r="J27" s="33">
        <f t="shared" si="2"/>
        <v>133.6248716</v>
      </c>
      <c r="K27" s="30"/>
      <c r="L27" s="33">
        <f t="shared" si="3"/>
        <v>133.6248716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/>
      <c r="F28" s="31" t="s">
        <v>38</v>
      </c>
      <c r="G28" s="52">
        <v>156.02533360731368</v>
      </c>
      <c r="H28" s="32"/>
      <c r="I28" s="33">
        <f t="shared" si="1"/>
        <v>1.295010269</v>
      </c>
      <c r="J28" s="33">
        <f t="shared" si="2"/>
        <v>157.3203439</v>
      </c>
      <c r="K28" s="30"/>
      <c r="L28" s="33">
        <f t="shared" si="3"/>
        <v>157.3203439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5"/>
      <c r="F29" s="31" t="s">
        <v>39</v>
      </c>
      <c r="G29" s="52">
        <v>1287.0861313304838</v>
      </c>
      <c r="H29" s="32"/>
      <c r="I29" s="33">
        <f t="shared" si="1"/>
        <v>10.68281489</v>
      </c>
      <c r="J29" s="33">
        <f t="shared" si="2"/>
        <v>1297.768946</v>
      </c>
      <c r="K29" s="30"/>
      <c r="L29" s="33">
        <f t="shared" si="3"/>
        <v>1297.768946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/>
      <c r="F30" s="31" t="s">
        <v>40</v>
      </c>
      <c r="G30" s="52">
        <v>735.5793921499584</v>
      </c>
      <c r="H30" s="39"/>
      <c r="I30" s="33">
        <f t="shared" si="1"/>
        <v>6.105308955</v>
      </c>
      <c r="J30" s="33">
        <f t="shared" si="2"/>
        <v>741.6847011</v>
      </c>
      <c r="K30" s="30"/>
      <c r="L30" s="33">
        <f t="shared" si="3"/>
        <v>741.6847011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/>
      <c r="F31" s="31" t="s">
        <v>39</v>
      </c>
      <c r="G31" s="52">
        <v>48.32120537918157</v>
      </c>
      <c r="H31" s="39"/>
      <c r="I31" s="33">
        <f t="shared" si="1"/>
        <v>0.4010660046</v>
      </c>
      <c r="J31" s="33">
        <f t="shared" si="2"/>
        <v>48.72227138</v>
      </c>
      <c r="K31" s="30"/>
      <c r="L31" s="33">
        <f t="shared" si="3"/>
        <v>48.72227138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/>
      <c r="F32" s="31" t="s">
        <v>33</v>
      </c>
      <c r="G32" s="52">
        <v>74.09399853352134</v>
      </c>
      <c r="H32" s="39"/>
      <c r="I32" s="33">
        <f t="shared" si="1"/>
        <v>0.6149801878</v>
      </c>
      <c r="J32" s="33">
        <f t="shared" si="2"/>
        <v>74.70897872</v>
      </c>
      <c r="K32" s="30"/>
      <c r="L32" s="33">
        <f t="shared" si="3"/>
        <v>74.70897872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/>
      <c r="F33" s="31" t="s">
        <v>38</v>
      </c>
      <c r="G33" s="52">
        <v>250.00390670824456</v>
      </c>
      <c r="H33" s="32"/>
      <c r="I33" s="33">
        <f t="shared" si="1"/>
        <v>2.075032426</v>
      </c>
      <c r="J33" s="33">
        <f t="shared" si="2"/>
        <v>252.0789391</v>
      </c>
      <c r="K33" s="30"/>
      <c r="L33" s="33">
        <f t="shared" si="3"/>
        <v>252.0789391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/>
      <c r="F34" s="31" t="s">
        <v>39</v>
      </c>
      <c r="G34" s="52">
        <v>76.12767202828739</v>
      </c>
      <c r="H34" s="32"/>
      <c r="I34" s="33">
        <f t="shared" si="1"/>
        <v>0.6318596778</v>
      </c>
      <c r="J34" s="33">
        <f t="shared" si="2"/>
        <v>76.75953171</v>
      </c>
      <c r="K34" s="30"/>
      <c r="L34" s="33">
        <f t="shared" si="3"/>
        <v>76.75953171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5"/>
      <c r="F35" s="31"/>
      <c r="G35" s="52">
        <v>2103.972394084098</v>
      </c>
      <c r="H35" s="32"/>
      <c r="I35" s="33">
        <f t="shared" si="1"/>
        <v>17.46297087</v>
      </c>
      <c r="J35" s="33">
        <f t="shared" si="2"/>
        <v>2121.435365</v>
      </c>
      <c r="K35" s="30"/>
      <c r="L35" s="33">
        <f t="shared" si="3"/>
        <v>2121.435365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102</v>
      </c>
      <c r="C36" s="30"/>
      <c r="D36" s="30" t="s">
        <v>94</v>
      </c>
      <c r="E36" s="31"/>
      <c r="F36" s="31"/>
      <c r="G36" s="52">
        <v>18.042048026776136</v>
      </c>
      <c r="H36" s="32"/>
      <c r="I36" s="33">
        <f t="shared" si="1"/>
        <v>0.1497489986</v>
      </c>
      <c r="J36" s="33">
        <f t="shared" si="2"/>
        <v>18.19179703</v>
      </c>
      <c r="K36" s="30"/>
      <c r="L36" s="33">
        <f t="shared" si="3"/>
        <v>18.19179703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41">
        <v>31.0</v>
      </c>
      <c r="B37" s="30" t="s">
        <v>104</v>
      </c>
      <c r="C37" s="30" t="s">
        <v>93</v>
      </c>
      <c r="D37" s="30" t="s">
        <v>94</v>
      </c>
      <c r="E37" s="35">
        <v>45943.0</v>
      </c>
      <c r="F37" s="31"/>
      <c r="G37" s="52">
        <v>408.6847141917966</v>
      </c>
      <c r="H37" s="32">
        <v>20.0</v>
      </c>
      <c r="I37" s="33">
        <f t="shared" si="1"/>
        <v>3.392083128</v>
      </c>
      <c r="J37" s="33">
        <f t="shared" si="2"/>
        <v>432.0767973</v>
      </c>
      <c r="K37" s="30"/>
      <c r="L37" s="33">
        <f t="shared" si="3"/>
        <v>432.0767973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41">
        <v>32.0</v>
      </c>
      <c r="B38" s="30" t="s">
        <v>190</v>
      </c>
      <c r="C38" s="34"/>
      <c r="D38" s="34" t="s">
        <v>94</v>
      </c>
      <c r="E38" s="35">
        <v>45937.0</v>
      </c>
      <c r="F38" s="35"/>
      <c r="G38" s="52">
        <v>341.49103965683986</v>
      </c>
      <c r="H38" s="32">
        <v>20.0</v>
      </c>
      <c r="I38" s="32">
        <f t="shared" si="1"/>
        <v>2.834375629</v>
      </c>
      <c r="J38" s="32">
        <f t="shared" si="2"/>
        <v>364.3254153</v>
      </c>
      <c r="K38" s="34"/>
      <c r="L38" s="32">
        <f t="shared" si="3"/>
        <v>364.3254153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175</v>
      </c>
      <c r="C39" s="34"/>
      <c r="D39" s="34" t="s">
        <v>94</v>
      </c>
      <c r="E39" s="35">
        <v>45933.0</v>
      </c>
      <c r="F39" s="35"/>
      <c r="G39" s="52">
        <v>768.2880730592718</v>
      </c>
      <c r="H39" s="32">
        <v>50.0</v>
      </c>
      <c r="I39" s="32">
        <f t="shared" si="1"/>
        <v>6.376791006</v>
      </c>
      <c r="J39" s="32">
        <f t="shared" si="2"/>
        <v>824.6648641</v>
      </c>
      <c r="K39" s="34"/>
      <c r="L39" s="32">
        <f t="shared" si="3"/>
        <v>824.6648641</v>
      </c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108</v>
      </c>
      <c r="C40" s="34"/>
      <c r="D40" s="34" t="s">
        <v>94</v>
      </c>
      <c r="E40" s="35"/>
      <c r="F40" s="35"/>
      <c r="G40" s="52">
        <v>65.14189481657029</v>
      </c>
      <c r="H40" s="32"/>
      <c r="I40" s="32">
        <f t="shared" si="1"/>
        <v>0.540677727</v>
      </c>
      <c r="J40" s="33">
        <f t="shared" si="2"/>
        <v>65.68257254</v>
      </c>
      <c r="K40" s="34"/>
      <c r="L40" s="32">
        <f t="shared" si="3"/>
        <v>65.68257254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111</v>
      </c>
      <c r="C41" s="34"/>
      <c r="D41" s="34" t="s">
        <v>94</v>
      </c>
      <c r="E41" s="35"/>
      <c r="F41" s="35"/>
      <c r="G41" s="52">
        <v>70.16958635524863</v>
      </c>
      <c r="H41" s="32"/>
      <c r="I41" s="32">
        <f t="shared" si="1"/>
        <v>0.5824075667</v>
      </c>
      <c r="J41" s="33">
        <f t="shared" si="2"/>
        <v>70.75199392</v>
      </c>
      <c r="K41" s="34"/>
      <c r="L41" s="32">
        <f t="shared" si="3"/>
        <v>70.75199392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4" t="s">
        <v>112</v>
      </c>
      <c r="C42" s="34"/>
      <c r="D42" s="34" t="s">
        <v>94</v>
      </c>
      <c r="E42" s="35"/>
      <c r="F42" s="35"/>
      <c r="G42" s="52">
        <v>24.08815108161</v>
      </c>
      <c r="H42" s="32"/>
      <c r="I42" s="32">
        <f t="shared" si="1"/>
        <v>0.199931654</v>
      </c>
      <c r="J42" s="33">
        <f t="shared" si="2"/>
        <v>24.28808274</v>
      </c>
      <c r="K42" s="34"/>
      <c r="L42" s="32">
        <f t="shared" si="3"/>
        <v>24.28808274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41">
        <v>37.0</v>
      </c>
      <c r="B43" s="34" t="s">
        <v>116</v>
      </c>
      <c r="C43" s="34"/>
      <c r="D43" s="34" t="s">
        <v>94</v>
      </c>
      <c r="E43" s="35"/>
      <c r="F43" s="35"/>
      <c r="G43" s="52">
        <v>11.797645543308219</v>
      </c>
      <c r="H43" s="32"/>
      <c r="I43" s="32">
        <f t="shared" si="1"/>
        <v>0.09792045801</v>
      </c>
      <c r="J43" s="33">
        <f t="shared" si="2"/>
        <v>11.895566</v>
      </c>
      <c r="K43" s="34"/>
      <c r="L43" s="32">
        <f t="shared" si="3"/>
        <v>11.895566</v>
      </c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118</v>
      </c>
      <c r="C44" s="30"/>
      <c r="D44" s="30" t="s">
        <v>94</v>
      </c>
      <c r="E44" s="31"/>
      <c r="F44" s="31"/>
      <c r="G44" s="52">
        <v>23.595291086616438</v>
      </c>
      <c r="H44" s="32"/>
      <c r="I44" s="33">
        <f t="shared" si="1"/>
        <v>0.195840916</v>
      </c>
      <c r="J44" s="33">
        <f t="shared" si="2"/>
        <v>23.791132</v>
      </c>
      <c r="K44" s="30"/>
      <c r="L44" s="33">
        <f t="shared" si="3"/>
        <v>23.791132</v>
      </c>
      <c r="M44" s="4">
        <f>210.72+106.7</f>
        <v>317.42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0" t="s">
        <v>176</v>
      </c>
      <c r="C45" s="34"/>
      <c r="D45" s="34" t="s">
        <v>94</v>
      </c>
      <c r="E45" s="35"/>
      <c r="F45" s="35"/>
      <c r="G45" s="32">
        <v>227.25471803538932</v>
      </c>
      <c r="H45" s="32"/>
      <c r="I45" s="32">
        <f t="shared" si="1"/>
        <v>1.88621416</v>
      </c>
      <c r="J45" s="32">
        <f t="shared" si="2"/>
        <v>229.1409322</v>
      </c>
      <c r="K45" s="34"/>
      <c r="L45" s="32">
        <f t="shared" si="3"/>
        <v>229.1409322</v>
      </c>
      <c r="M45" s="65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41">
        <v>40.0</v>
      </c>
      <c r="B46" s="30" t="s">
        <v>121</v>
      </c>
      <c r="C46" s="30"/>
      <c r="D46" s="30" t="s">
        <v>94</v>
      </c>
      <c r="E46" s="31"/>
      <c r="F46" s="31"/>
      <c r="G46" s="52">
        <v>11.700531134888644</v>
      </c>
      <c r="H46" s="32"/>
      <c r="I46" s="33">
        <f t="shared" si="1"/>
        <v>0.09711440842</v>
      </c>
      <c r="J46" s="33">
        <f t="shared" si="2"/>
        <v>11.79764554</v>
      </c>
      <c r="K46" s="30"/>
      <c r="L46" s="33">
        <f t="shared" si="3"/>
        <v>11.79764554</v>
      </c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41">
        <v>41.0</v>
      </c>
      <c r="B47" s="34" t="s">
        <v>161</v>
      </c>
      <c r="C47" s="34"/>
      <c r="D47" s="34" t="s">
        <v>94</v>
      </c>
      <c r="E47" s="35"/>
      <c r="F47" s="35"/>
      <c r="G47" s="64">
        <v>109.47806598428699</v>
      </c>
      <c r="H47" s="32"/>
      <c r="I47" s="32">
        <f t="shared" si="1"/>
        <v>0.9086679477</v>
      </c>
      <c r="J47" s="32">
        <f t="shared" si="2"/>
        <v>110.3867339</v>
      </c>
      <c r="K47" s="12"/>
      <c r="L47" s="32">
        <f t="shared" si="3"/>
        <v>110.3867339</v>
      </c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30.0" customHeight="1">
      <c r="A48" s="66">
        <v>42.0</v>
      </c>
      <c r="B48" s="67" t="s">
        <v>125</v>
      </c>
      <c r="C48" s="67"/>
      <c r="D48" s="68" t="s">
        <v>94</v>
      </c>
      <c r="E48" s="69"/>
      <c r="F48" s="69"/>
      <c r="G48" s="70">
        <v>-0.001818975090884578</v>
      </c>
      <c r="H48" s="71"/>
      <c r="I48" s="72">
        <v>0.0</v>
      </c>
      <c r="J48" s="73">
        <f t="shared" si="2"/>
        <v>-0.001818975091</v>
      </c>
      <c r="K48" s="67"/>
      <c r="L48" s="72">
        <f t="shared" si="3"/>
        <v>-0.001818975091</v>
      </c>
      <c r="M48" s="74"/>
      <c r="N48" s="74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</row>
    <row r="49" ht="30.0" customHeight="1">
      <c r="A49" s="41">
        <v>43.0</v>
      </c>
      <c r="B49" s="54" t="s">
        <v>126</v>
      </c>
      <c r="C49" s="13"/>
      <c r="D49" s="30" t="s">
        <v>94</v>
      </c>
      <c r="E49" s="14"/>
      <c r="F49" s="14"/>
      <c r="G49" s="53">
        <v>358.8608150931666</v>
      </c>
      <c r="H49" s="32"/>
      <c r="I49" s="33">
        <f t="shared" ref="I49:I81" si="4">G49*0.83%</f>
        <v>2.978544765</v>
      </c>
      <c r="J49" s="33">
        <f t="shared" si="2"/>
        <v>361.8393599</v>
      </c>
      <c r="K49" s="13"/>
      <c r="L49" s="33">
        <f t="shared" si="3"/>
        <v>361.8393599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41">
        <v>44.0</v>
      </c>
      <c r="B50" s="13" t="s">
        <v>127</v>
      </c>
      <c r="C50" s="13"/>
      <c r="D50" s="30" t="s">
        <v>94</v>
      </c>
      <c r="E50" s="14"/>
      <c r="F50" s="14"/>
      <c r="G50" s="53">
        <v>46.03634853866186</v>
      </c>
      <c r="H50" s="32"/>
      <c r="I50" s="33">
        <f t="shared" si="4"/>
        <v>0.3821016929</v>
      </c>
      <c r="J50" s="33">
        <f t="shared" si="2"/>
        <v>46.41845023</v>
      </c>
      <c r="K50" s="13"/>
      <c r="L50" s="33">
        <f t="shared" si="3"/>
        <v>46.41845023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41">
        <v>45.0</v>
      </c>
      <c r="B51" s="13" t="s">
        <v>128</v>
      </c>
      <c r="C51" s="13"/>
      <c r="D51" s="30" t="s">
        <v>94</v>
      </c>
      <c r="E51" s="35">
        <v>45940.0</v>
      </c>
      <c r="F51" s="14"/>
      <c r="G51" s="53">
        <v>204.88326926369234</v>
      </c>
      <c r="H51" s="32">
        <v>10.0</v>
      </c>
      <c r="I51" s="33">
        <f t="shared" si="4"/>
        <v>1.700531135</v>
      </c>
      <c r="J51" s="33">
        <f t="shared" si="2"/>
        <v>216.5838004</v>
      </c>
      <c r="K51" s="13"/>
      <c r="L51" s="33">
        <f t="shared" si="3"/>
        <v>216.5838004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13" t="s">
        <v>177</v>
      </c>
      <c r="C52" s="13"/>
      <c r="D52" s="30" t="s">
        <v>94</v>
      </c>
      <c r="E52" s="35">
        <v>45939.0</v>
      </c>
      <c r="F52" s="14" t="s">
        <v>101</v>
      </c>
      <c r="G52" s="53">
        <v>1292.8498413095397</v>
      </c>
      <c r="H52" s="32">
        <v>10.0</v>
      </c>
      <c r="I52" s="33">
        <f t="shared" si="4"/>
        <v>10.73065368</v>
      </c>
      <c r="J52" s="33">
        <f t="shared" si="2"/>
        <v>1313.580495</v>
      </c>
      <c r="K52" s="13"/>
      <c r="L52" s="33">
        <f t="shared" si="3"/>
        <v>1313.580495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13" t="s">
        <v>132</v>
      </c>
      <c r="C53" s="13"/>
      <c r="D53" s="30" t="s">
        <v>94</v>
      </c>
      <c r="E53" s="14"/>
      <c r="F53" s="14"/>
      <c r="G53" s="53">
        <v>17.168305118850775</v>
      </c>
      <c r="H53" s="32"/>
      <c r="I53" s="33">
        <f t="shared" si="4"/>
        <v>0.1424969325</v>
      </c>
      <c r="J53" s="33">
        <f t="shared" si="2"/>
        <v>17.31080205</v>
      </c>
      <c r="K53" s="13"/>
      <c r="L53" s="33">
        <f t="shared" si="3"/>
        <v>17.31080205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133</v>
      </c>
      <c r="C54" s="13"/>
      <c r="D54" s="30" t="s">
        <v>94</v>
      </c>
      <c r="E54" s="35">
        <v>45940.0</v>
      </c>
      <c r="F54" s="14"/>
      <c r="G54" s="59">
        <v>721.0243364544808</v>
      </c>
      <c r="H54" s="32">
        <v>20.0</v>
      </c>
      <c r="I54" s="33">
        <f t="shared" si="4"/>
        <v>5.984501993</v>
      </c>
      <c r="J54" s="33">
        <f t="shared" si="2"/>
        <v>747.0088384</v>
      </c>
      <c r="K54" s="13"/>
      <c r="L54" s="33">
        <f t="shared" si="3"/>
        <v>747.0088384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30" t="s">
        <v>134</v>
      </c>
      <c r="C55" s="13"/>
      <c r="D55" s="30" t="s">
        <v>94</v>
      </c>
      <c r="E55" s="14"/>
      <c r="F55" s="14" t="s">
        <v>131</v>
      </c>
      <c r="G55" s="53">
        <v>22.922652109289647</v>
      </c>
      <c r="H55" s="32"/>
      <c r="I55" s="33">
        <f t="shared" si="4"/>
        <v>0.1902580125</v>
      </c>
      <c r="J55" s="33">
        <f t="shared" si="2"/>
        <v>23.11291012</v>
      </c>
      <c r="K55" s="13"/>
      <c r="L55" s="33">
        <f t="shared" si="3"/>
        <v>23.11291012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30" t="s">
        <v>178</v>
      </c>
      <c r="C56" s="13"/>
      <c r="D56" s="30" t="s">
        <v>94</v>
      </c>
      <c r="E56" s="35">
        <v>45942.0</v>
      </c>
      <c r="F56" s="14" t="s">
        <v>131</v>
      </c>
      <c r="G56" s="53">
        <v>340.9954499144741</v>
      </c>
      <c r="H56" s="32">
        <v>20.0</v>
      </c>
      <c r="I56" s="33">
        <f t="shared" si="4"/>
        <v>2.830262234</v>
      </c>
      <c r="J56" s="33">
        <f t="shared" si="2"/>
        <v>363.8257121</v>
      </c>
      <c r="K56" s="13"/>
      <c r="L56" s="33">
        <f t="shared" si="3"/>
        <v>363.8257121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136</v>
      </c>
      <c r="C57" s="13"/>
      <c r="D57" s="30" t="s">
        <v>94</v>
      </c>
      <c r="E57" s="14"/>
      <c r="F57" s="14" t="s">
        <v>131</v>
      </c>
      <c r="G57" s="53">
        <v>22.922652109289647</v>
      </c>
      <c r="H57" s="32"/>
      <c r="I57" s="33">
        <f t="shared" si="4"/>
        <v>0.1902580125</v>
      </c>
      <c r="J57" s="33">
        <f t="shared" si="2"/>
        <v>23.11291012</v>
      </c>
      <c r="K57" s="13"/>
      <c r="L57" s="33">
        <f t="shared" si="3"/>
        <v>23.11291012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138</v>
      </c>
      <c r="C58" s="13"/>
      <c r="D58" s="30" t="s">
        <v>94</v>
      </c>
      <c r="E58" s="14"/>
      <c r="F58" s="14"/>
      <c r="G58" s="53">
        <v>11.413958128411911</v>
      </c>
      <c r="H58" s="32"/>
      <c r="I58" s="33">
        <f t="shared" si="4"/>
        <v>0.09473585247</v>
      </c>
      <c r="J58" s="33">
        <f t="shared" si="2"/>
        <v>11.50869398</v>
      </c>
      <c r="K58" s="13"/>
      <c r="L58" s="33">
        <f t="shared" si="3"/>
        <v>11.50869398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142</v>
      </c>
      <c r="C59" s="13"/>
      <c r="D59" s="30" t="s">
        <v>94</v>
      </c>
      <c r="E59" s="35">
        <v>45945.0</v>
      </c>
      <c r="F59" s="14"/>
      <c r="G59" s="53">
        <v>120.86720015369139</v>
      </c>
      <c r="H59" s="32">
        <v>10.0</v>
      </c>
      <c r="I59" s="33">
        <f t="shared" si="4"/>
        <v>1.003197761</v>
      </c>
      <c r="J59" s="33">
        <f t="shared" si="2"/>
        <v>131.8703979</v>
      </c>
      <c r="K59" s="13"/>
      <c r="L59" s="33">
        <f t="shared" si="3"/>
        <v>131.8703979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153</v>
      </c>
      <c r="C60" s="13" t="s">
        <v>93</v>
      </c>
      <c r="D60" s="30" t="s">
        <v>94</v>
      </c>
      <c r="E60" s="35">
        <v>45938.0</v>
      </c>
      <c r="F60" s="14"/>
      <c r="G60" s="53">
        <v>698.6545334470485</v>
      </c>
      <c r="H60" s="32">
        <v>25.0</v>
      </c>
      <c r="I60" s="33">
        <f t="shared" si="4"/>
        <v>5.798832628</v>
      </c>
      <c r="J60" s="33">
        <f t="shared" si="2"/>
        <v>729.4533661</v>
      </c>
      <c r="K60" s="13"/>
      <c r="L60" s="33">
        <f t="shared" si="3"/>
        <v>729.4533661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154</v>
      </c>
      <c r="C61" s="13"/>
      <c r="D61" s="30" t="s">
        <v>94</v>
      </c>
      <c r="E61" s="35"/>
      <c r="F61" s="14"/>
      <c r="G61" s="53">
        <v>416.11921069477006</v>
      </c>
      <c r="H61" s="32"/>
      <c r="I61" s="33">
        <f t="shared" si="4"/>
        <v>3.453789449</v>
      </c>
      <c r="J61" s="33">
        <f t="shared" si="2"/>
        <v>419.5730001</v>
      </c>
      <c r="K61" s="13"/>
      <c r="L61" s="33">
        <f t="shared" si="3"/>
        <v>419.5730001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3" t="s">
        <v>155</v>
      </c>
      <c r="C62" s="13"/>
      <c r="D62" s="30" t="s">
        <v>94</v>
      </c>
      <c r="E62" s="35">
        <v>45949.0</v>
      </c>
      <c r="F62" s="14"/>
      <c r="G62" s="53">
        <v>207.47948222404725</v>
      </c>
      <c r="H62" s="32">
        <v>30.0</v>
      </c>
      <c r="I62" s="33">
        <f t="shared" si="4"/>
        <v>1.722079702</v>
      </c>
      <c r="J62" s="33">
        <f t="shared" si="2"/>
        <v>239.2015619</v>
      </c>
      <c r="K62" s="13"/>
      <c r="L62" s="33">
        <f t="shared" si="3"/>
        <v>239.2015619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41">
        <v>57.0</v>
      </c>
      <c r="B63" s="13" t="s">
        <v>162</v>
      </c>
      <c r="C63" s="13"/>
      <c r="D63" s="30" t="s">
        <v>94</v>
      </c>
      <c r="E63" s="35">
        <v>45932.0</v>
      </c>
      <c r="F63" s="14"/>
      <c r="G63" s="53">
        <v>92.78849994291419</v>
      </c>
      <c r="H63" s="32">
        <v>50.0</v>
      </c>
      <c r="I63" s="33">
        <f t="shared" si="4"/>
        <v>0.7701445495</v>
      </c>
      <c r="J63" s="33">
        <f t="shared" si="2"/>
        <v>143.5586445</v>
      </c>
      <c r="K63" s="13"/>
      <c r="L63" s="33">
        <f t="shared" si="3"/>
        <v>143.5586445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157</v>
      </c>
      <c r="C64" s="13"/>
      <c r="D64" s="30" t="s">
        <v>94</v>
      </c>
      <c r="E64" s="14"/>
      <c r="F64" s="14"/>
      <c r="G64" s="53">
        <v>26.144228296466412</v>
      </c>
      <c r="H64" s="32"/>
      <c r="I64" s="16">
        <f t="shared" si="4"/>
        <v>0.2169970949</v>
      </c>
      <c r="J64" s="33">
        <f t="shared" si="2"/>
        <v>26.36122539</v>
      </c>
      <c r="K64" s="13"/>
      <c r="L64" s="33">
        <f t="shared" si="3"/>
        <v>26.36122539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2" t="s">
        <v>179</v>
      </c>
      <c r="C65" s="12"/>
      <c r="D65" s="34" t="s">
        <v>94</v>
      </c>
      <c r="E65" s="35">
        <v>45932.0</v>
      </c>
      <c r="F65" s="22"/>
      <c r="G65" s="53">
        <v>411.3106893444974</v>
      </c>
      <c r="H65" s="32">
        <v>100.0</v>
      </c>
      <c r="I65" s="15">
        <f t="shared" si="4"/>
        <v>3.413878722</v>
      </c>
      <c r="J65" s="32">
        <f t="shared" si="2"/>
        <v>514.7245681</v>
      </c>
      <c r="K65" s="12"/>
      <c r="L65" s="32">
        <f t="shared" si="3"/>
        <v>514.7245681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30.0" customHeight="1">
      <c r="A66" s="41">
        <v>60.0</v>
      </c>
      <c r="B66" s="13" t="s">
        <v>160</v>
      </c>
      <c r="C66" s="13"/>
      <c r="D66" s="30" t="s">
        <v>94</v>
      </c>
      <c r="E66" s="35"/>
      <c r="F66" s="14"/>
      <c r="G66" s="53">
        <v>40.84359198321382</v>
      </c>
      <c r="H66" s="32"/>
      <c r="I66" s="16">
        <f t="shared" si="4"/>
        <v>0.3390018135</v>
      </c>
      <c r="J66" s="33">
        <f t="shared" si="2"/>
        <v>41.1825938</v>
      </c>
      <c r="K66" s="13"/>
      <c r="L66" s="33">
        <f t="shared" si="3"/>
        <v>41.1825938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30.0" customHeight="1">
      <c r="A67" s="41">
        <v>61.0</v>
      </c>
      <c r="B67" s="13" t="s">
        <v>164</v>
      </c>
      <c r="C67" s="13"/>
      <c r="D67" s="30" t="s">
        <v>94</v>
      </c>
      <c r="E67" s="35">
        <v>45935.0</v>
      </c>
      <c r="F67" s="14"/>
      <c r="G67" s="53">
        <v>122.51772810638765</v>
      </c>
      <c r="H67" s="32">
        <v>20.0</v>
      </c>
      <c r="I67" s="16">
        <f t="shared" si="4"/>
        <v>1.016897143</v>
      </c>
      <c r="J67" s="33">
        <f t="shared" si="2"/>
        <v>143.5346252</v>
      </c>
      <c r="K67" s="13"/>
      <c r="L67" s="33">
        <f t="shared" si="3"/>
        <v>143.5346252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30.0" customHeight="1">
      <c r="A68" s="41">
        <v>62.0</v>
      </c>
      <c r="B68" s="25" t="s">
        <v>180</v>
      </c>
      <c r="C68" s="13"/>
      <c r="D68" s="30" t="s">
        <v>94</v>
      </c>
      <c r="E68" s="35">
        <v>45931.0</v>
      </c>
      <c r="F68" s="14"/>
      <c r="G68" s="53">
        <v>158.35813334117734</v>
      </c>
      <c r="H68" s="32">
        <v>50.0</v>
      </c>
      <c r="I68" s="16">
        <f t="shared" si="4"/>
        <v>1.314372507</v>
      </c>
      <c r="J68" s="33">
        <f t="shared" si="2"/>
        <v>209.6725058</v>
      </c>
      <c r="K68" s="13"/>
      <c r="L68" s="33">
        <f t="shared" si="3"/>
        <v>209.6725058</v>
      </c>
      <c r="M68" s="4"/>
      <c r="N68" s="4" t="s">
        <v>197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30.0" customHeight="1">
      <c r="A69" s="41">
        <v>63.0</v>
      </c>
      <c r="B69" s="13" t="s">
        <v>168</v>
      </c>
      <c r="C69" s="13"/>
      <c r="D69" s="30" t="s">
        <v>94</v>
      </c>
      <c r="E69" s="35">
        <v>45931.0</v>
      </c>
      <c r="F69" s="14"/>
      <c r="G69" s="53">
        <v>61.002906153610006</v>
      </c>
      <c r="H69" s="32">
        <v>40.0</v>
      </c>
      <c r="I69" s="16">
        <f t="shared" si="4"/>
        <v>0.5063241211</v>
      </c>
      <c r="J69" s="33">
        <f t="shared" si="2"/>
        <v>101.5092303</v>
      </c>
      <c r="K69" s="13"/>
      <c r="L69" s="33">
        <f t="shared" si="3"/>
        <v>101.5092303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30.0" customHeight="1">
      <c r="A70" s="41">
        <v>64.0</v>
      </c>
      <c r="B70" s="13" t="s">
        <v>169</v>
      </c>
      <c r="C70" s="13"/>
      <c r="D70" s="30" t="s">
        <v>94</v>
      </c>
      <c r="E70" s="14">
        <v>45940.0</v>
      </c>
      <c r="F70" s="14"/>
      <c r="G70" s="53">
        <v>61.16959505361</v>
      </c>
      <c r="H70" s="32">
        <v>10.0</v>
      </c>
      <c r="I70" s="16">
        <f t="shared" si="4"/>
        <v>0.5077076389</v>
      </c>
      <c r="J70" s="33">
        <f t="shared" si="2"/>
        <v>71.67730269</v>
      </c>
      <c r="K70" s="13"/>
      <c r="L70" s="33">
        <f t="shared" si="3"/>
        <v>71.67730269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30.0" customHeight="1">
      <c r="A71" s="41">
        <v>65.0</v>
      </c>
      <c r="B71" s="13" t="s">
        <v>181</v>
      </c>
      <c r="C71" s="13"/>
      <c r="D71" s="30" t="s">
        <v>94</v>
      </c>
      <c r="E71" s="35">
        <v>45934.0</v>
      </c>
      <c r="F71" s="14"/>
      <c r="G71" s="53">
        <v>50.75183373574</v>
      </c>
      <c r="H71" s="32">
        <v>10.0</v>
      </c>
      <c r="I71" s="16">
        <f t="shared" si="4"/>
        <v>0.42124022</v>
      </c>
      <c r="J71" s="33">
        <f t="shared" si="2"/>
        <v>61.17307396</v>
      </c>
      <c r="K71" s="13"/>
      <c r="L71" s="33">
        <f t="shared" si="3"/>
        <v>61.17307396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30.0" customHeight="1">
      <c r="A72" s="41">
        <v>66.0</v>
      </c>
      <c r="B72" s="13" t="s">
        <v>171</v>
      </c>
      <c r="C72" s="13"/>
      <c r="D72" s="30" t="s">
        <v>94</v>
      </c>
      <c r="E72" s="35">
        <v>45931.0</v>
      </c>
      <c r="F72" s="14"/>
      <c r="G72" s="53">
        <v>70.84178718574</v>
      </c>
      <c r="H72" s="32">
        <v>27.74</v>
      </c>
      <c r="I72" s="16">
        <f t="shared" si="4"/>
        <v>0.5879868336</v>
      </c>
      <c r="J72" s="33">
        <f t="shared" si="2"/>
        <v>99.16977402</v>
      </c>
      <c r="K72" s="13"/>
      <c r="L72" s="33">
        <f t="shared" si="3"/>
        <v>99.16977402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30.0" customHeight="1">
      <c r="A73" s="41">
        <v>67.0</v>
      </c>
      <c r="B73" s="13" t="s">
        <v>182</v>
      </c>
      <c r="C73" s="13"/>
      <c r="D73" s="30" t="s">
        <v>94</v>
      </c>
      <c r="E73" s="31">
        <v>45938.0</v>
      </c>
      <c r="F73" s="14"/>
      <c r="G73" s="53">
        <v>30.2496889</v>
      </c>
      <c r="H73" s="32">
        <v>10.0</v>
      </c>
      <c r="I73" s="16">
        <f t="shared" si="4"/>
        <v>0.2510724179</v>
      </c>
      <c r="J73" s="33">
        <f t="shared" si="2"/>
        <v>40.50076132</v>
      </c>
      <c r="K73" s="13"/>
      <c r="L73" s="33">
        <f t="shared" si="3"/>
        <v>40.50076132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30.0" customHeight="1">
      <c r="A74" s="41">
        <v>68.0</v>
      </c>
      <c r="B74" s="13" t="s">
        <v>183</v>
      </c>
      <c r="C74" s="13"/>
      <c r="D74" s="30" t="s">
        <v>94</v>
      </c>
      <c r="E74" s="14"/>
      <c r="F74" s="14"/>
      <c r="G74" s="53">
        <v>20.2496889</v>
      </c>
      <c r="H74" s="32"/>
      <c r="I74" s="16">
        <f t="shared" si="4"/>
        <v>0.1680724179</v>
      </c>
      <c r="J74" s="33">
        <f t="shared" si="2"/>
        <v>20.41776132</v>
      </c>
      <c r="K74" s="13"/>
      <c r="L74" s="33">
        <f t="shared" si="3"/>
        <v>20.41776132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30.0" customHeight="1">
      <c r="A75" s="41">
        <v>69.0</v>
      </c>
      <c r="B75" s="13" t="s">
        <v>184</v>
      </c>
      <c r="C75" s="13"/>
      <c r="D75" s="30" t="s">
        <v>94</v>
      </c>
      <c r="E75" s="35">
        <v>45931.0</v>
      </c>
      <c r="F75" s="14"/>
      <c r="G75" s="53">
        <v>30.2496889</v>
      </c>
      <c r="H75" s="32">
        <v>20.0</v>
      </c>
      <c r="I75" s="16">
        <f t="shared" si="4"/>
        <v>0.2510724179</v>
      </c>
      <c r="J75" s="33">
        <f t="shared" si="2"/>
        <v>50.50076132</v>
      </c>
      <c r="K75" s="13"/>
      <c r="L75" s="33">
        <f t="shared" si="3"/>
        <v>50.50076132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30.0" customHeight="1">
      <c r="A76" s="41">
        <v>70.0</v>
      </c>
      <c r="B76" s="13" t="s">
        <v>185</v>
      </c>
      <c r="C76" s="13"/>
      <c r="D76" s="30" t="s">
        <v>94</v>
      </c>
      <c r="E76" s="35">
        <v>45941.0</v>
      </c>
      <c r="F76" s="14"/>
      <c r="G76" s="53">
        <v>60.4993778</v>
      </c>
      <c r="H76" s="32">
        <v>20.0</v>
      </c>
      <c r="I76" s="16">
        <f t="shared" si="4"/>
        <v>0.5021448357</v>
      </c>
      <c r="J76" s="33">
        <f t="shared" si="2"/>
        <v>81.00152264</v>
      </c>
      <c r="K76" s="13"/>
      <c r="L76" s="33">
        <f t="shared" si="3"/>
        <v>81.00152264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30.0" customHeight="1">
      <c r="A77" s="41">
        <v>71.0</v>
      </c>
      <c r="B77" s="13" t="s">
        <v>186</v>
      </c>
      <c r="C77" s="13"/>
      <c r="D77" s="30" t="s">
        <v>94</v>
      </c>
      <c r="E77" s="35">
        <v>45931.0</v>
      </c>
      <c r="F77" s="14"/>
      <c r="G77" s="53">
        <v>605.8203335000001</v>
      </c>
      <c r="H77" s="32">
        <v>125.0</v>
      </c>
      <c r="I77" s="16">
        <f t="shared" si="4"/>
        <v>5.028308768</v>
      </c>
      <c r="J77" s="33">
        <f t="shared" si="2"/>
        <v>735.8486423</v>
      </c>
      <c r="K77" s="13"/>
      <c r="L77" s="33">
        <f t="shared" si="3"/>
        <v>735.8486423</v>
      </c>
      <c r="M77" s="4"/>
      <c r="N77" s="4" t="s">
        <v>198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30.0" customHeight="1">
      <c r="A78" s="41">
        <v>72.0</v>
      </c>
      <c r="B78" s="13" t="s">
        <v>187</v>
      </c>
      <c r="C78" s="13"/>
      <c r="D78" s="30" t="s">
        <v>94</v>
      </c>
      <c r="E78" s="35">
        <v>45940.0</v>
      </c>
      <c r="F78" s="14"/>
      <c r="G78" s="53">
        <v>30.2496889</v>
      </c>
      <c r="H78" s="32">
        <v>10.0</v>
      </c>
      <c r="I78" s="16">
        <f t="shared" si="4"/>
        <v>0.2510724179</v>
      </c>
      <c r="J78" s="33">
        <f t="shared" si="2"/>
        <v>40.50076132</v>
      </c>
      <c r="K78" s="13"/>
      <c r="L78" s="33">
        <f t="shared" si="3"/>
        <v>40.50076132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30.0" customHeight="1">
      <c r="A79" s="41">
        <v>73.0</v>
      </c>
      <c r="B79" s="13" t="s">
        <v>191</v>
      </c>
      <c r="C79" s="13"/>
      <c r="D79" s="30" t="s">
        <v>94</v>
      </c>
      <c r="E79" s="35">
        <v>45936.0</v>
      </c>
      <c r="F79" s="14"/>
      <c r="G79" s="53">
        <v>100.415</v>
      </c>
      <c r="H79" s="32">
        <v>50.0</v>
      </c>
      <c r="I79" s="16">
        <f t="shared" si="4"/>
        <v>0.8334445</v>
      </c>
      <c r="J79" s="33">
        <f t="shared" si="2"/>
        <v>151.2484445</v>
      </c>
      <c r="K79" s="13"/>
      <c r="L79" s="33">
        <f t="shared" si="3"/>
        <v>151.2484445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30.0" customHeight="1">
      <c r="A80" s="41">
        <v>74.0</v>
      </c>
      <c r="B80" s="13" t="s">
        <v>192</v>
      </c>
      <c r="C80" s="13"/>
      <c r="D80" s="30" t="s">
        <v>94</v>
      </c>
      <c r="E80" s="35">
        <v>45937.0</v>
      </c>
      <c r="F80" s="14"/>
      <c r="G80" s="53">
        <v>100.415</v>
      </c>
      <c r="H80" s="32">
        <v>50.0</v>
      </c>
      <c r="I80" s="16">
        <f t="shared" si="4"/>
        <v>0.8334445</v>
      </c>
      <c r="J80" s="33">
        <f t="shared" si="2"/>
        <v>151.2484445</v>
      </c>
      <c r="K80" s="13"/>
      <c r="L80" s="33">
        <f t="shared" si="3"/>
        <v>151.2484445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30.0" customHeight="1">
      <c r="A81" s="41">
        <v>76.0</v>
      </c>
      <c r="B81" s="13" t="s">
        <v>199</v>
      </c>
      <c r="C81" s="13"/>
      <c r="D81" s="30" t="s">
        <v>94</v>
      </c>
      <c r="E81" s="35">
        <v>45942.0</v>
      </c>
      <c r="F81" s="14"/>
      <c r="G81" s="53"/>
      <c r="H81" s="32">
        <v>10.0</v>
      </c>
      <c r="I81" s="16">
        <f t="shared" si="4"/>
        <v>0</v>
      </c>
      <c r="J81" s="33">
        <f t="shared" si="2"/>
        <v>10</v>
      </c>
      <c r="K81" s="13"/>
      <c r="L81" s="33">
        <f t="shared" si="3"/>
        <v>10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0" customHeight="1">
      <c r="A82" s="17"/>
      <c r="B82" s="13"/>
      <c r="C82" s="13"/>
      <c r="D82" s="13"/>
      <c r="E82" s="13"/>
      <c r="F82" s="13"/>
      <c r="G82" s="55">
        <f>SUM(G7:G80)</f>
        <v>59803.49883</v>
      </c>
      <c r="H82" s="55">
        <f t="shared" ref="H82:J82" si="5">SUM(H7:H81)</f>
        <v>1694.74</v>
      </c>
      <c r="I82" s="55">
        <f t="shared" si="5"/>
        <v>496.3690553</v>
      </c>
      <c r="J82" s="55">
        <f t="shared" si="5"/>
        <v>61994.60788</v>
      </c>
      <c r="K82" s="55">
        <f>SUM(K7:K72)</f>
        <v>-40.62</v>
      </c>
      <c r="L82" s="55">
        <f>SUM(L7:L81)</f>
        <v>62035.22788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21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82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200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1"/>
      <c r="F7" s="31"/>
      <c r="G7" s="52">
        <v>5207.095914918766</v>
      </c>
      <c r="H7" s="32"/>
      <c r="I7" s="33">
        <f t="shared" ref="I7:I23" si="1">G7*0.83%</f>
        <v>43.21889609</v>
      </c>
      <c r="J7" s="33">
        <f t="shared" ref="J7:J23" si="2">G7+H7+I7</f>
        <v>5250.314811</v>
      </c>
      <c r="K7" s="30"/>
      <c r="L7" s="33">
        <f t="shared" ref="L7:L23" si="3">J7-K7</f>
        <v>5250.314811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5"/>
      <c r="F8" s="31"/>
      <c r="G8" s="52">
        <v>9001.933271867674</v>
      </c>
      <c r="H8" s="32"/>
      <c r="I8" s="33">
        <f t="shared" si="1"/>
        <v>74.71604616</v>
      </c>
      <c r="J8" s="33">
        <f t="shared" si="2"/>
        <v>9076.649318</v>
      </c>
      <c r="K8" s="30"/>
      <c r="L8" s="33">
        <f t="shared" si="3"/>
        <v>9076.649318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5">
        <v>45971.0</v>
      </c>
      <c r="F9" s="31"/>
      <c r="G9" s="52">
        <v>8979.56018130846</v>
      </c>
      <c r="H9" s="32">
        <v>30.0</v>
      </c>
      <c r="I9" s="33">
        <f t="shared" si="1"/>
        <v>74.5303495</v>
      </c>
      <c r="J9" s="79">
        <f t="shared" si="2"/>
        <v>9084.090531</v>
      </c>
      <c r="K9" s="30"/>
      <c r="L9" s="33">
        <f t="shared" si="3"/>
        <v>9084.090531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/>
      <c r="F10" s="35"/>
      <c r="G10" s="52">
        <v>222.38784323390533</v>
      </c>
      <c r="H10" s="32"/>
      <c r="I10" s="32">
        <f t="shared" si="1"/>
        <v>1.845819099</v>
      </c>
      <c r="J10" s="33">
        <f t="shared" si="2"/>
        <v>224.2336623</v>
      </c>
      <c r="K10" s="51"/>
      <c r="L10" s="32">
        <f t="shared" si="3"/>
        <v>224.2336623</v>
      </c>
      <c r="M10" s="63"/>
      <c r="N10" s="4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189</v>
      </c>
      <c r="C11" s="34" t="s">
        <v>91</v>
      </c>
      <c r="D11" s="34" t="s">
        <v>92</v>
      </c>
      <c r="E11" s="35">
        <v>45962.0</v>
      </c>
      <c r="F11" s="35"/>
      <c r="G11" s="52">
        <v>707.4595007942931</v>
      </c>
      <c r="H11" s="32">
        <v>25.0</v>
      </c>
      <c r="I11" s="32">
        <f t="shared" si="1"/>
        <v>5.871913857</v>
      </c>
      <c r="J11" s="33">
        <f t="shared" si="2"/>
        <v>738.3314147</v>
      </c>
      <c r="K11" s="34"/>
      <c r="L11" s="32">
        <f t="shared" si="3"/>
        <v>738.3314147</v>
      </c>
      <c r="M11" s="63"/>
      <c r="N11" s="4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37</v>
      </c>
      <c r="C12" s="34" t="s">
        <v>91</v>
      </c>
      <c r="D12" s="34" t="s">
        <v>92</v>
      </c>
      <c r="E12" s="31">
        <v>45974.0</v>
      </c>
      <c r="F12" s="35"/>
      <c r="G12" s="52">
        <v>685.9331301322068</v>
      </c>
      <c r="H12" s="33">
        <v>500.0</v>
      </c>
      <c r="I12" s="32">
        <f t="shared" si="1"/>
        <v>5.69324498</v>
      </c>
      <c r="J12" s="33">
        <f t="shared" si="2"/>
        <v>1191.626375</v>
      </c>
      <c r="K12" s="34"/>
      <c r="L12" s="32">
        <f t="shared" si="3"/>
        <v>1191.626375</v>
      </c>
      <c r="M12" s="63"/>
      <c r="N12" s="4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1">
        <v>45972.0</v>
      </c>
      <c r="F13" s="35"/>
      <c r="G13" s="52">
        <v>8999.93537397315</v>
      </c>
      <c r="H13" s="32">
        <v>70.32</v>
      </c>
      <c r="I13" s="32">
        <f t="shared" si="1"/>
        <v>74.6994636</v>
      </c>
      <c r="J13" s="33">
        <f t="shared" si="2"/>
        <v>9144.954838</v>
      </c>
      <c r="K13" s="34"/>
      <c r="L13" s="32">
        <f t="shared" si="3"/>
        <v>9144.954838</v>
      </c>
      <c r="M13" s="63"/>
      <c r="N13" s="4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41">
        <v>8.0</v>
      </c>
      <c r="B14" s="34" t="s">
        <v>173</v>
      </c>
      <c r="C14" s="34" t="s">
        <v>91</v>
      </c>
      <c r="D14" s="34" t="s">
        <v>92</v>
      </c>
      <c r="E14" s="35">
        <v>45967.0</v>
      </c>
      <c r="F14" s="35"/>
      <c r="G14" s="52">
        <v>2631.012210512329</v>
      </c>
      <c r="H14" s="32">
        <v>50.0</v>
      </c>
      <c r="I14" s="32">
        <f t="shared" si="1"/>
        <v>21.83740135</v>
      </c>
      <c r="J14" s="33">
        <f t="shared" si="2"/>
        <v>2702.849612</v>
      </c>
      <c r="K14" s="51"/>
      <c r="L14" s="32">
        <f t="shared" si="3"/>
        <v>2702.849612</v>
      </c>
      <c r="M14" s="63"/>
      <c r="N14" s="4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41">
        <v>9.0</v>
      </c>
      <c r="B15" s="34" t="s">
        <v>174</v>
      </c>
      <c r="C15" s="30" t="s">
        <v>91</v>
      </c>
      <c r="D15" s="30" t="s">
        <v>94</v>
      </c>
      <c r="E15" s="35">
        <v>45970.0</v>
      </c>
      <c r="F15" s="31"/>
      <c r="G15" s="52">
        <v>4314.186205983422</v>
      </c>
      <c r="H15" s="32">
        <v>20.0</v>
      </c>
      <c r="I15" s="33">
        <f t="shared" si="1"/>
        <v>35.80774551</v>
      </c>
      <c r="J15" s="33">
        <f t="shared" si="2"/>
        <v>4369.993951</v>
      </c>
      <c r="K15" s="30"/>
      <c r="L15" s="33">
        <f t="shared" si="3"/>
        <v>4369.993951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41">
        <v>10.0</v>
      </c>
      <c r="B16" s="30" t="s">
        <v>49</v>
      </c>
      <c r="C16" s="30" t="s">
        <v>91</v>
      </c>
      <c r="D16" s="30" t="s">
        <v>94</v>
      </c>
      <c r="E16" s="35">
        <v>45968.0</v>
      </c>
      <c r="F16" s="31" t="s">
        <v>38</v>
      </c>
      <c r="G16" s="52">
        <v>286.0716601615007</v>
      </c>
      <c r="H16" s="32">
        <v>10.0</v>
      </c>
      <c r="I16" s="33">
        <f t="shared" si="1"/>
        <v>2.374394779</v>
      </c>
      <c r="J16" s="33">
        <f t="shared" si="2"/>
        <v>298.4460549</v>
      </c>
      <c r="K16" s="30"/>
      <c r="L16" s="33">
        <f t="shared" si="3"/>
        <v>298.4460549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5"/>
      <c r="F17" s="31" t="s">
        <v>39</v>
      </c>
      <c r="G17" s="52">
        <v>563.092560633067</v>
      </c>
      <c r="H17" s="32"/>
      <c r="I17" s="33">
        <f t="shared" si="1"/>
        <v>4.673668253</v>
      </c>
      <c r="J17" s="33">
        <f t="shared" si="2"/>
        <v>567.7662289</v>
      </c>
      <c r="K17" s="30"/>
      <c r="L17" s="33">
        <f t="shared" si="3"/>
        <v>567.7662289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1"/>
      <c r="F18" s="31" t="s">
        <v>34</v>
      </c>
      <c r="G18" s="52">
        <v>122.76283604866875</v>
      </c>
      <c r="H18" s="32"/>
      <c r="I18" s="33">
        <f t="shared" si="1"/>
        <v>1.018931539</v>
      </c>
      <c r="J18" s="33">
        <f t="shared" si="2"/>
        <v>123.7817676</v>
      </c>
      <c r="K18" s="30"/>
      <c r="L18" s="33">
        <f t="shared" si="3"/>
        <v>123.7817676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1"/>
      <c r="F19" s="31" t="s">
        <v>38</v>
      </c>
      <c r="G19" s="52">
        <v>97.17483202621727</v>
      </c>
      <c r="H19" s="32"/>
      <c r="I19" s="33">
        <f t="shared" si="1"/>
        <v>0.8065511058</v>
      </c>
      <c r="J19" s="33">
        <f t="shared" si="2"/>
        <v>97.98138313</v>
      </c>
      <c r="K19" s="30"/>
      <c r="L19" s="33">
        <f t="shared" si="3"/>
        <v>97.98138313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1"/>
      <c r="F20" s="31" t="s">
        <v>38</v>
      </c>
      <c r="G20" s="52">
        <v>368.82195683771585</v>
      </c>
      <c r="H20" s="33"/>
      <c r="I20" s="32">
        <f t="shared" si="1"/>
        <v>3.061222242</v>
      </c>
      <c r="J20" s="33">
        <f t="shared" si="2"/>
        <v>371.8831791</v>
      </c>
      <c r="K20" s="34"/>
      <c r="L20" s="32">
        <f t="shared" si="3"/>
        <v>371.8831791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1"/>
      <c r="F21" s="35" t="s">
        <v>34</v>
      </c>
      <c r="G21" s="52">
        <v>3064.461665814352</v>
      </c>
      <c r="H21" s="32"/>
      <c r="I21" s="33">
        <f t="shared" si="1"/>
        <v>25.43503183</v>
      </c>
      <c r="J21" s="33">
        <f t="shared" si="2"/>
        <v>3089.896698</v>
      </c>
      <c r="K21" s="30"/>
      <c r="L21" s="33">
        <f t="shared" si="3"/>
        <v>3089.896698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1"/>
      <c r="F22" s="31" t="s">
        <v>33</v>
      </c>
      <c r="G22" s="52">
        <v>831.3050704632592</v>
      </c>
      <c r="H22" s="32"/>
      <c r="I22" s="33">
        <f t="shared" si="1"/>
        <v>6.899832085</v>
      </c>
      <c r="J22" s="33">
        <f t="shared" si="2"/>
        <v>838.2049025</v>
      </c>
      <c r="K22" s="30"/>
      <c r="L22" s="33">
        <f t="shared" si="3"/>
        <v>838.2049025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1">
        <v>45969.0</v>
      </c>
      <c r="F23" s="31" t="s">
        <v>38</v>
      </c>
      <c r="G23" s="52">
        <v>71.76731262483534</v>
      </c>
      <c r="H23" s="32">
        <v>10.0</v>
      </c>
      <c r="I23" s="32">
        <f t="shared" si="1"/>
        <v>0.5956686948</v>
      </c>
      <c r="J23" s="33">
        <f t="shared" si="2"/>
        <v>82.36298132</v>
      </c>
      <c r="K23" s="34"/>
      <c r="L23" s="32">
        <f t="shared" si="3"/>
        <v>82.36298132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66">
        <v>18.0</v>
      </c>
      <c r="B24" s="76" t="s">
        <v>41</v>
      </c>
      <c r="C24" s="76" t="s">
        <v>91</v>
      </c>
      <c r="D24" s="68" t="s">
        <v>94</v>
      </c>
      <c r="E24" s="77"/>
      <c r="F24" s="77" t="s">
        <v>34</v>
      </c>
      <c r="G24" s="78">
        <v>-0.001818975090884578</v>
      </c>
      <c r="H24" s="71"/>
      <c r="I24" s="72">
        <v>0.0</v>
      </c>
      <c r="J24" s="72">
        <v>-0.001818975090884578</v>
      </c>
      <c r="K24" s="68"/>
      <c r="L24" s="72">
        <v>-0.001818975090884578</v>
      </c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1">
        <v>45972.0</v>
      </c>
      <c r="F25" s="31" t="s">
        <v>39</v>
      </c>
      <c r="G25" s="52">
        <v>913.6706817721491</v>
      </c>
      <c r="H25" s="32">
        <v>20.0</v>
      </c>
      <c r="I25" s="33">
        <f t="shared" ref="I25:I47" si="4">G25*0.83%</f>
        <v>7.583466659</v>
      </c>
      <c r="J25" s="33">
        <f t="shared" ref="J25:J81" si="5">G25+H25+I25</f>
        <v>941.2541484</v>
      </c>
      <c r="K25" s="30"/>
      <c r="L25" s="33">
        <f t="shared" ref="L25:L81" si="6">J25-K25</f>
        <v>941.2541484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1"/>
      <c r="F26" s="31" t="s">
        <v>34</v>
      </c>
      <c r="G26" s="52">
        <v>91.03372673173826</v>
      </c>
      <c r="H26" s="32"/>
      <c r="I26" s="32">
        <f t="shared" si="4"/>
        <v>0.7555799319</v>
      </c>
      <c r="J26" s="33">
        <f t="shared" si="5"/>
        <v>91.78930666</v>
      </c>
      <c r="K26" s="34"/>
      <c r="L26" s="32">
        <f t="shared" si="6"/>
        <v>91.78930666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/>
      <c r="F27" s="35" t="s">
        <v>38</v>
      </c>
      <c r="G27" s="52">
        <v>133.6248715784385</v>
      </c>
      <c r="H27" s="32"/>
      <c r="I27" s="33">
        <f t="shared" si="4"/>
        <v>1.109086434</v>
      </c>
      <c r="J27" s="33">
        <f t="shared" si="5"/>
        <v>134.733958</v>
      </c>
      <c r="K27" s="30"/>
      <c r="L27" s="33">
        <f t="shared" si="6"/>
        <v>134.733958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1"/>
      <c r="F28" s="31" t="s">
        <v>38</v>
      </c>
      <c r="G28" s="52">
        <v>157.32034387625438</v>
      </c>
      <c r="H28" s="32"/>
      <c r="I28" s="33">
        <f t="shared" si="4"/>
        <v>1.305758854</v>
      </c>
      <c r="J28" s="33">
        <f t="shared" si="5"/>
        <v>158.6261027</v>
      </c>
      <c r="K28" s="30"/>
      <c r="L28" s="33">
        <f t="shared" si="6"/>
        <v>158.6261027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5"/>
      <c r="F29" s="31" t="s">
        <v>39</v>
      </c>
      <c r="G29" s="52">
        <v>1297.768946220527</v>
      </c>
      <c r="H29" s="32"/>
      <c r="I29" s="33">
        <f t="shared" si="4"/>
        <v>10.77148225</v>
      </c>
      <c r="J29" s="33">
        <f t="shared" si="5"/>
        <v>1308.540428</v>
      </c>
      <c r="K29" s="30"/>
      <c r="L29" s="33">
        <f t="shared" si="6"/>
        <v>1308.540428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1"/>
      <c r="F30" s="31" t="s">
        <v>40</v>
      </c>
      <c r="G30" s="52">
        <v>741.684701104803</v>
      </c>
      <c r="H30" s="39"/>
      <c r="I30" s="33">
        <f t="shared" si="4"/>
        <v>6.155983019</v>
      </c>
      <c r="J30" s="33">
        <f t="shared" si="5"/>
        <v>747.8406841</v>
      </c>
      <c r="K30" s="30"/>
      <c r="L30" s="33">
        <f t="shared" si="6"/>
        <v>747.8406841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1"/>
      <c r="F31" s="31" t="s">
        <v>39</v>
      </c>
      <c r="G31" s="52">
        <v>48.722271383828776</v>
      </c>
      <c r="H31" s="39"/>
      <c r="I31" s="33">
        <f t="shared" si="4"/>
        <v>0.4043948525</v>
      </c>
      <c r="J31" s="33">
        <f t="shared" si="5"/>
        <v>49.12666624</v>
      </c>
      <c r="K31" s="30"/>
      <c r="L31" s="33">
        <f t="shared" si="6"/>
        <v>49.12666624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1"/>
      <c r="F32" s="31" t="s">
        <v>33</v>
      </c>
      <c r="G32" s="52">
        <v>74.70897872134957</v>
      </c>
      <c r="H32" s="39"/>
      <c r="I32" s="33">
        <f t="shared" si="4"/>
        <v>0.6200845234</v>
      </c>
      <c r="J32" s="33">
        <f t="shared" si="5"/>
        <v>75.32906324</v>
      </c>
      <c r="K32" s="30"/>
      <c r="L32" s="33">
        <f t="shared" si="6"/>
        <v>75.32906324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1"/>
      <c r="F33" s="31" t="s">
        <v>38</v>
      </c>
      <c r="G33" s="52">
        <v>252.078939133923</v>
      </c>
      <c r="H33" s="32"/>
      <c r="I33" s="33">
        <f t="shared" si="4"/>
        <v>2.092255195</v>
      </c>
      <c r="J33" s="33">
        <f t="shared" si="5"/>
        <v>254.1711943</v>
      </c>
      <c r="K33" s="30"/>
      <c r="L33" s="33">
        <f t="shared" si="6"/>
        <v>254.1711943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1"/>
      <c r="F34" s="31" t="s">
        <v>39</v>
      </c>
      <c r="G34" s="52">
        <v>76.75953170612217</v>
      </c>
      <c r="H34" s="32"/>
      <c r="I34" s="33">
        <f t="shared" si="4"/>
        <v>0.6371041132</v>
      </c>
      <c r="J34" s="33">
        <f t="shared" si="5"/>
        <v>77.39663582</v>
      </c>
      <c r="K34" s="30"/>
      <c r="L34" s="33">
        <f t="shared" si="6"/>
        <v>77.39663582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5"/>
      <c r="F35" s="31"/>
      <c r="G35" s="52">
        <v>2121.435364954996</v>
      </c>
      <c r="H35" s="32"/>
      <c r="I35" s="33">
        <f t="shared" si="4"/>
        <v>17.60791353</v>
      </c>
      <c r="J35" s="33">
        <f t="shared" si="5"/>
        <v>2139.043278</v>
      </c>
      <c r="K35" s="30"/>
      <c r="L35" s="33">
        <f t="shared" si="6"/>
        <v>2139.043278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102</v>
      </c>
      <c r="C36" s="30"/>
      <c r="D36" s="30" t="s">
        <v>94</v>
      </c>
      <c r="E36" s="31"/>
      <c r="F36" s="31"/>
      <c r="G36" s="52">
        <v>18.19179702539838</v>
      </c>
      <c r="H36" s="32"/>
      <c r="I36" s="33">
        <f t="shared" si="4"/>
        <v>0.1509919153</v>
      </c>
      <c r="J36" s="33">
        <f t="shared" si="5"/>
        <v>18.34278894</v>
      </c>
      <c r="K36" s="30"/>
      <c r="L36" s="33">
        <f t="shared" si="6"/>
        <v>18.34278894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41">
        <v>31.0</v>
      </c>
      <c r="B37" s="30" t="s">
        <v>104</v>
      </c>
      <c r="C37" s="30" t="s">
        <v>93</v>
      </c>
      <c r="D37" s="30" t="s">
        <v>94</v>
      </c>
      <c r="E37" s="35">
        <v>45967.0</v>
      </c>
      <c r="F37" s="31"/>
      <c r="G37" s="52">
        <v>432.07679731958854</v>
      </c>
      <c r="H37" s="32">
        <v>20.0</v>
      </c>
      <c r="I37" s="33">
        <f t="shared" si="4"/>
        <v>3.586237418</v>
      </c>
      <c r="J37" s="33">
        <f t="shared" si="5"/>
        <v>455.6630347</v>
      </c>
      <c r="K37" s="30"/>
      <c r="L37" s="33">
        <f t="shared" si="6"/>
        <v>455.6630347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41">
        <v>32.0</v>
      </c>
      <c r="B38" s="30" t="s">
        <v>190</v>
      </c>
      <c r="C38" s="34"/>
      <c r="D38" s="34" t="s">
        <v>94</v>
      </c>
      <c r="E38" s="35">
        <v>45964.0</v>
      </c>
      <c r="F38" s="35"/>
      <c r="G38" s="52">
        <v>364.32541528599165</v>
      </c>
      <c r="H38" s="32">
        <v>30.0</v>
      </c>
      <c r="I38" s="32">
        <f t="shared" si="4"/>
        <v>3.023900947</v>
      </c>
      <c r="J38" s="32">
        <f t="shared" si="5"/>
        <v>397.3493162</v>
      </c>
      <c r="K38" s="34"/>
      <c r="L38" s="32">
        <f t="shared" si="6"/>
        <v>397.3493162</v>
      </c>
      <c r="M38" s="63"/>
      <c r="N38" s="4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175</v>
      </c>
      <c r="C39" s="34"/>
      <c r="D39" s="34" t="s">
        <v>94</v>
      </c>
      <c r="E39" s="35">
        <v>45971.0</v>
      </c>
      <c r="F39" s="35"/>
      <c r="G39" s="52">
        <v>824.6648640656638</v>
      </c>
      <c r="H39" s="32">
        <v>50.0</v>
      </c>
      <c r="I39" s="32">
        <f t="shared" si="4"/>
        <v>6.844718372</v>
      </c>
      <c r="J39" s="32">
        <f t="shared" si="5"/>
        <v>881.5095824</v>
      </c>
      <c r="K39" s="34"/>
      <c r="L39" s="32">
        <f t="shared" si="6"/>
        <v>881.5095824</v>
      </c>
      <c r="M39" s="63"/>
      <c r="N39" s="4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108</v>
      </c>
      <c r="C40" s="34"/>
      <c r="D40" s="34" t="s">
        <v>94</v>
      </c>
      <c r="E40" s="35"/>
      <c r="F40" s="35"/>
      <c r="G40" s="52">
        <v>65.68257254354782</v>
      </c>
      <c r="H40" s="32"/>
      <c r="I40" s="32">
        <f t="shared" si="4"/>
        <v>0.5451653521</v>
      </c>
      <c r="J40" s="33">
        <f t="shared" si="5"/>
        <v>66.2277379</v>
      </c>
      <c r="K40" s="34"/>
      <c r="L40" s="32">
        <f t="shared" si="6"/>
        <v>66.2277379</v>
      </c>
      <c r="M40" s="63"/>
      <c r="N40" s="4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111</v>
      </c>
      <c r="C41" s="34"/>
      <c r="D41" s="34" t="s">
        <v>94</v>
      </c>
      <c r="E41" s="35"/>
      <c r="F41" s="35"/>
      <c r="G41" s="52">
        <v>70.75199392199718</v>
      </c>
      <c r="H41" s="32"/>
      <c r="I41" s="32">
        <f t="shared" si="4"/>
        <v>0.5872415496</v>
      </c>
      <c r="J41" s="33">
        <f t="shared" si="5"/>
        <v>71.33923547</v>
      </c>
      <c r="K41" s="34"/>
      <c r="L41" s="32">
        <f t="shared" si="6"/>
        <v>71.33923547</v>
      </c>
      <c r="M41" s="63"/>
      <c r="N41" s="4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4" t="s">
        <v>112</v>
      </c>
      <c r="C42" s="34"/>
      <c r="D42" s="34" t="s">
        <v>94</v>
      </c>
      <c r="E42" s="35"/>
      <c r="F42" s="35"/>
      <c r="G42" s="52">
        <v>24.288082735587363</v>
      </c>
      <c r="H42" s="32"/>
      <c r="I42" s="32">
        <f t="shared" si="4"/>
        <v>0.2015910867</v>
      </c>
      <c r="J42" s="33">
        <f t="shared" si="5"/>
        <v>24.48967382</v>
      </c>
      <c r="K42" s="34"/>
      <c r="L42" s="32">
        <f t="shared" si="6"/>
        <v>24.48967382</v>
      </c>
      <c r="M42" s="63"/>
      <c r="N42" s="4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41">
        <v>37.0</v>
      </c>
      <c r="B43" s="34" t="s">
        <v>116</v>
      </c>
      <c r="C43" s="34"/>
      <c r="D43" s="34" t="s">
        <v>94</v>
      </c>
      <c r="E43" s="35"/>
      <c r="F43" s="35"/>
      <c r="G43" s="52">
        <v>11.895566001317677</v>
      </c>
      <c r="H43" s="32"/>
      <c r="I43" s="32">
        <f t="shared" si="4"/>
        <v>0.09873319781</v>
      </c>
      <c r="J43" s="33">
        <f t="shared" si="5"/>
        <v>11.9942992</v>
      </c>
      <c r="K43" s="34"/>
      <c r="L43" s="32">
        <f t="shared" si="6"/>
        <v>11.9942992</v>
      </c>
      <c r="M43" s="63"/>
      <c r="N43" s="4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118</v>
      </c>
      <c r="C44" s="30"/>
      <c r="D44" s="30" t="s">
        <v>94</v>
      </c>
      <c r="E44" s="31"/>
      <c r="F44" s="31"/>
      <c r="G44" s="52">
        <v>23.791132002635354</v>
      </c>
      <c r="H44" s="32"/>
      <c r="I44" s="33">
        <f t="shared" si="4"/>
        <v>0.1974663956</v>
      </c>
      <c r="J44" s="33">
        <f t="shared" si="5"/>
        <v>23.9885984</v>
      </c>
      <c r="K44" s="30"/>
      <c r="L44" s="33">
        <f t="shared" si="6"/>
        <v>23.9885984</v>
      </c>
      <c r="M44" s="4">
        <f>210.72+106.7</f>
        <v>317.42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0" t="s">
        <v>176</v>
      </c>
      <c r="C45" s="34"/>
      <c r="D45" s="34" t="s">
        <v>94</v>
      </c>
      <c r="E45" s="35">
        <v>45962.0</v>
      </c>
      <c r="F45" s="35"/>
      <c r="G45" s="32">
        <v>229.14093219508305</v>
      </c>
      <c r="H45" s="32">
        <v>10.0</v>
      </c>
      <c r="I45" s="32">
        <f t="shared" si="4"/>
        <v>1.901869737</v>
      </c>
      <c r="J45" s="32">
        <f t="shared" si="5"/>
        <v>241.0428019</v>
      </c>
      <c r="K45" s="34"/>
      <c r="L45" s="32">
        <f t="shared" si="6"/>
        <v>241.0428019</v>
      </c>
      <c r="M45" s="65"/>
      <c r="N45" s="4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41">
        <v>40.0</v>
      </c>
      <c r="B46" s="30" t="s">
        <v>121</v>
      </c>
      <c r="C46" s="30"/>
      <c r="D46" s="30" t="s">
        <v>94</v>
      </c>
      <c r="E46" s="31"/>
      <c r="F46" s="31"/>
      <c r="G46" s="52">
        <v>11.797645543308219</v>
      </c>
      <c r="H46" s="32"/>
      <c r="I46" s="33">
        <f t="shared" si="4"/>
        <v>0.09792045801</v>
      </c>
      <c r="J46" s="33">
        <f t="shared" si="5"/>
        <v>11.895566</v>
      </c>
      <c r="K46" s="30"/>
      <c r="L46" s="33">
        <f t="shared" si="6"/>
        <v>11.895566</v>
      </c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41">
        <v>41.0</v>
      </c>
      <c r="B47" s="34" t="s">
        <v>161</v>
      </c>
      <c r="C47" s="34"/>
      <c r="D47" s="34" t="s">
        <v>94</v>
      </c>
      <c r="E47" s="35"/>
      <c r="F47" s="35"/>
      <c r="G47" s="64">
        <v>110.38673393195657</v>
      </c>
      <c r="H47" s="32"/>
      <c r="I47" s="32">
        <f t="shared" si="4"/>
        <v>0.9162098916</v>
      </c>
      <c r="J47" s="32">
        <f t="shared" si="5"/>
        <v>111.3029438</v>
      </c>
      <c r="K47" s="12"/>
      <c r="L47" s="32">
        <f t="shared" si="6"/>
        <v>111.3029438</v>
      </c>
      <c r="M47" s="63"/>
      <c r="N47" s="4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30.0" customHeight="1">
      <c r="A48" s="66">
        <v>42.0</v>
      </c>
      <c r="B48" s="67" t="s">
        <v>125</v>
      </c>
      <c r="C48" s="67"/>
      <c r="D48" s="68" t="s">
        <v>94</v>
      </c>
      <c r="E48" s="69"/>
      <c r="F48" s="69"/>
      <c r="G48" s="70">
        <v>0.00181897509088458</v>
      </c>
      <c r="H48" s="71"/>
      <c r="I48" s="72">
        <v>0.0</v>
      </c>
      <c r="J48" s="73">
        <f t="shared" si="5"/>
        <v>0.001818975091</v>
      </c>
      <c r="K48" s="67"/>
      <c r="L48" s="72">
        <f t="shared" si="6"/>
        <v>0.001818975091</v>
      </c>
      <c r="M48" s="74"/>
      <c r="N48" s="4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</row>
    <row r="49" ht="30.0" customHeight="1">
      <c r="A49" s="41">
        <v>43.0</v>
      </c>
      <c r="B49" s="54" t="s">
        <v>126</v>
      </c>
      <c r="C49" s="13"/>
      <c r="D49" s="30" t="s">
        <v>94</v>
      </c>
      <c r="E49" s="35">
        <v>45971.0</v>
      </c>
      <c r="F49" s="14"/>
      <c r="G49" s="53">
        <v>361.8393598584399</v>
      </c>
      <c r="H49" s="32">
        <v>10.0</v>
      </c>
      <c r="I49" s="33">
        <f t="shared" ref="I49:I81" si="7">G49*0.83%</f>
        <v>3.003266687</v>
      </c>
      <c r="J49" s="33">
        <f t="shared" si="5"/>
        <v>374.8426265</v>
      </c>
      <c r="K49" s="13"/>
      <c r="L49" s="33">
        <f t="shared" si="6"/>
        <v>374.8426265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41">
        <v>44.0</v>
      </c>
      <c r="B50" s="13" t="s">
        <v>127</v>
      </c>
      <c r="C50" s="13"/>
      <c r="D50" s="30" t="s">
        <v>94</v>
      </c>
      <c r="E50" s="14"/>
      <c r="F50" s="14"/>
      <c r="G50" s="53">
        <v>46.41845023153275</v>
      </c>
      <c r="H50" s="32"/>
      <c r="I50" s="33">
        <f t="shared" si="7"/>
        <v>0.3852731369</v>
      </c>
      <c r="J50" s="33">
        <f t="shared" si="5"/>
        <v>46.80372337</v>
      </c>
      <c r="K50" s="13"/>
      <c r="L50" s="33">
        <f t="shared" si="6"/>
        <v>46.80372337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41">
        <v>45.0</v>
      </c>
      <c r="B51" s="13" t="s">
        <v>128</v>
      </c>
      <c r="C51" s="13"/>
      <c r="D51" s="30" t="s">
        <v>94</v>
      </c>
      <c r="E51" s="35">
        <v>45964.0</v>
      </c>
      <c r="F51" s="14"/>
      <c r="G51" s="53">
        <v>216.583800398581</v>
      </c>
      <c r="H51" s="32">
        <v>10.0</v>
      </c>
      <c r="I51" s="33">
        <f t="shared" si="7"/>
        <v>1.797645543</v>
      </c>
      <c r="J51" s="33">
        <f t="shared" si="5"/>
        <v>228.3814459</v>
      </c>
      <c r="K51" s="13"/>
      <c r="L51" s="33">
        <f t="shared" si="6"/>
        <v>228.3814459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13" t="s">
        <v>177</v>
      </c>
      <c r="C52" s="13"/>
      <c r="D52" s="30" t="s">
        <v>94</v>
      </c>
      <c r="E52" s="35">
        <v>45971.0</v>
      </c>
      <c r="F52" s="14" t="s">
        <v>101</v>
      </c>
      <c r="G52" s="53">
        <v>1313.5804949924088</v>
      </c>
      <c r="H52" s="32">
        <v>10.0</v>
      </c>
      <c r="I52" s="33">
        <f t="shared" si="7"/>
        <v>10.90271811</v>
      </c>
      <c r="J52" s="33">
        <f t="shared" si="5"/>
        <v>1334.483213</v>
      </c>
      <c r="K52" s="13"/>
      <c r="L52" s="33">
        <f t="shared" si="6"/>
        <v>1334.483213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13" t="s">
        <v>132</v>
      </c>
      <c r="C53" s="13"/>
      <c r="D53" s="30" t="s">
        <v>94</v>
      </c>
      <c r="E53" s="14"/>
      <c r="F53" s="14"/>
      <c r="G53" s="53">
        <v>17.310802051337237</v>
      </c>
      <c r="H53" s="32"/>
      <c r="I53" s="33">
        <f t="shared" si="7"/>
        <v>0.143679657</v>
      </c>
      <c r="J53" s="33">
        <f t="shared" si="5"/>
        <v>17.45448171</v>
      </c>
      <c r="K53" s="13"/>
      <c r="L53" s="33">
        <f t="shared" si="6"/>
        <v>17.45448171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133</v>
      </c>
      <c r="C54" s="13"/>
      <c r="D54" s="30" t="s">
        <v>94</v>
      </c>
      <c r="E54" s="35">
        <v>45971.0</v>
      </c>
      <c r="F54" s="14"/>
      <c r="G54" s="59">
        <v>747.008838447053</v>
      </c>
      <c r="H54" s="32">
        <v>20.0</v>
      </c>
      <c r="I54" s="33">
        <f t="shared" si="7"/>
        <v>6.200173359</v>
      </c>
      <c r="J54" s="33">
        <f t="shared" si="5"/>
        <v>773.2090118</v>
      </c>
      <c r="K54" s="13"/>
      <c r="L54" s="33">
        <f t="shared" si="6"/>
        <v>773.2090118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30" t="s">
        <v>134</v>
      </c>
      <c r="C55" s="13"/>
      <c r="D55" s="30" t="s">
        <v>94</v>
      </c>
      <c r="E55" s="14"/>
      <c r="F55" s="14" t="s">
        <v>131</v>
      </c>
      <c r="G55" s="53">
        <v>23.11291012179675</v>
      </c>
      <c r="H55" s="32"/>
      <c r="I55" s="33">
        <f t="shared" si="7"/>
        <v>0.191837154</v>
      </c>
      <c r="J55" s="33">
        <f t="shared" si="5"/>
        <v>23.30474728</v>
      </c>
      <c r="K55" s="13"/>
      <c r="L55" s="33">
        <f t="shared" si="6"/>
        <v>23.30474728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30" t="s">
        <v>178</v>
      </c>
      <c r="C56" s="13"/>
      <c r="D56" s="30" t="s">
        <v>94</v>
      </c>
      <c r="E56" s="35">
        <v>45972.0</v>
      </c>
      <c r="F56" s="14" t="s">
        <v>131</v>
      </c>
      <c r="G56" s="53">
        <v>363.82571214876424</v>
      </c>
      <c r="H56" s="32">
        <v>20.0</v>
      </c>
      <c r="I56" s="33">
        <f t="shared" si="7"/>
        <v>3.019753411</v>
      </c>
      <c r="J56" s="33">
        <f t="shared" si="5"/>
        <v>386.8454656</v>
      </c>
      <c r="K56" s="13"/>
      <c r="L56" s="33">
        <f t="shared" si="6"/>
        <v>386.8454656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136</v>
      </c>
      <c r="C57" s="13"/>
      <c r="D57" s="30" t="s">
        <v>94</v>
      </c>
      <c r="E57" s="14"/>
      <c r="F57" s="14" t="s">
        <v>131</v>
      </c>
      <c r="G57" s="53">
        <v>23.11291012179675</v>
      </c>
      <c r="H57" s="32"/>
      <c r="I57" s="33">
        <f t="shared" si="7"/>
        <v>0.191837154</v>
      </c>
      <c r="J57" s="33">
        <f t="shared" si="5"/>
        <v>23.30474728</v>
      </c>
      <c r="K57" s="13"/>
      <c r="L57" s="33">
        <f t="shared" si="6"/>
        <v>23.30474728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138</v>
      </c>
      <c r="C58" s="13"/>
      <c r="D58" s="30" t="s">
        <v>94</v>
      </c>
      <c r="E58" s="14"/>
      <c r="F58" s="14"/>
      <c r="G58" s="53">
        <v>11.50869398087773</v>
      </c>
      <c r="H58" s="32"/>
      <c r="I58" s="33">
        <f t="shared" si="7"/>
        <v>0.09552216004</v>
      </c>
      <c r="J58" s="33">
        <f t="shared" si="5"/>
        <v>11.60421614</v>
      </c>
      <c r="K58" s="13"/>
      <c r="L58" s="33">
        <f t="shared" si="6"/>
        <v>11.60421614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142</v>
      </c>
      <c r="C59" s="13"/>
      <c r="D59" s="30" t="s">
        <v>94</v>
      </c>
      <c r="E59" s="35">
        <v>45975.0</v>
      </c>
      <c r="F59" s="14"/>
      <c r="G59" s="53">
        <v>131.87039791496701</v>
      </c>
      <c r="H59" s="32">
        <v>10.0</v>
      </c>
      <c r="I59" s="33">
        <f t="shared" si="7"/>
        <v>1.094524303</v>
      </c>
      <c r="J59" s="33">
        <f t="shared" si="5"/>
        <v>142.9649222</v>
      </c>
      <c r="K59" s="13"/>
      <c r="L59" s="33">
        <f t="shared" si="6"/>
        <v>142.9649222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153</v>
      </c>
      <c r="C60" s="13" t="s">
        <v>93</v>
      </c>
      <c r="D60" s="30" t="s">
        <v>94</v>
      </c>
      <c r="E60" s="35"/>
      <c r="F60" s="14"/>
      <c r="G60" s="53">
        <v>729.453366074659</v>
      </c>
      <c r="H60" s="32"/>
      <c r="I60" s="33">
        <f t="shared" si="7"/>
        <v>6.054462938</v>
      </c>
      <c r="J60" s="33">
        <f t="shared" si="5"/>
        <v>735.507829</v>
      </c>
      <c r="K60" s="13"/>
      <c r="L60" s="33">
        <f t="shared" si="6"/>
        <v>735.507829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154</v>
      </c>
      <c r="C61" s="13"/>
      <c r="D61" s="30" t="s">
        <v>94</v>
      </c>
      <c r="E61" s="35"/>
      <c r="F61" s="14"/>
      <c r="G61" s="53">
        <v>419.57300014353666</v>
      </c>
      <c r="H61" s="32"/>
      <c r="I61" s="33">
        <f t="shared" si="7"/>
        <v>3.482455901</v>
      </c>
      <c r="J61" s="33">
        <f t="shared" si="5"/>
        <v>423.055456</v>
      </c>
      <c r="K61" s="13"/>
      <c r="L61" s="33">
        <f t="shared" si="6"/>
        <v>423.055456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3" t="s">
        <v>155</v>
      </c>
      <c r="C62" s="13"/>
      <c r="D62" s="30" t="s">
        <v>94</v>
      </c>
      <c r="E62" s="35">
        <v>45979.0</v>
      </c>
      <c r="F62" s="14"/>
      <c r="G62" s="53">
        <v>239.20156192650683</v>
      </c>
      <c r="H62" s="32">
        <v>30.0</v>
      </c>
      <c r="I62" s="33">
        <f t="shared" si="7"/>
        <v>1.985372964</v>
      </c>
      <c r="J62" s="33">
        <f t="shared" si="5"/>
        <v>271.1869349</v>
      </c>
      <c r="K62" s="13"/>
      <c r="L62" s="33">
        <f t="shared" si="6"/>
        <v>271.1869349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41">
        <v>57.0</v>
      </c>
      <c r="B63" s="13" t="s">
        <v>162</v>
      </c>
      <c r="C63" s="13"/>
      <c r="D63" s="30" t="s">
        <v>94</v>
      </c>
      <c r="E63" s="35">
        <v>45971.0</v>
      </c>
      <c r="F63" s="14"/>
      <c r="G63" s="53">
        <v>143.55864449244038</v>
      </c>
      <c r="H63" s="32">
        <v>20.0</v>
      </c>
      <c r="I63" s="33">
        <f t="shared" si="7"/>
        <v>1.191536749</v>
      </c>
      <c r="J63" s="33">
        <f t="shared" si="5"/>
        <v>164.7501812</v>
      </c>
      <c r="K63" s="13"/>
      <c r="L63" s="33">
        <f t="shared" si="6"/>
        <v>164.7501812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157</v>
      </c>
      <c r="C64" s="13"/>
      <c r="D64" s="30" t="s">
        <v>94</v>
      </c>
      <c r="E64" s="14"/>
      <c r="F64" s="14"/>
      <c r="G64" s="53">
        <v>26.361225391327082</v>
      </c>
      <c r="H64" s="32"/>
      <c r="I64" s="16">
        <f t="shared" si="7"/>
        <v>0.2187981707</v>
      </c>
      <c r="J64" s="33">
        <f t="shared" si="5"/>
        <v>26.58002356</v>
      </c>
      <c r="K64" s="13"/>
      <c r="L64" s="33">
        <f t="shared" si="6"/>
        <v>26.58002356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2" t="s">
        <v>179</v>
      </c>
      <c r="C65" s="12"/>
      <c r="D65" s="34" t="s">
        <v>94</v>
      </c>
      <c r="E65" s="35">
        <v>45964.0</v>
      </c>
      <c r="F65" s="22"/>
      <c r="G65" s="53">
        <v>514.7245680660567</v>
      </c>
      <c r="H65" s="32">
        <v>100.0</v>
      </c>
      <c r="I65" s="15">
        <f t="shared" si="7"/>
        <v>4.272213915</v>
      </c>
      <c r="J65" s="32">
        <f t="shared" si="5"/>
        <v>618.996782</v>
      </c>
      <c r="K65" s="12"/>
      <c r="L65" s="32">
        <f t="shared" si="6"/>
        <v>618.996782</v>
      </c>
      <c r="M65" s="63"/>
      <c r="N65" s="4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30.0" customHeight="1">
      <c r="A66" s="41">
        <v>60.0</v>
      </c>
      <c r="B66" s="13" t="s">
        <v>160</v>
      </c>
      <c r="C66" s="13"/>
      <c r="D66" s="30" t="s">
        <v>94</v>
      </c>
      <c r="E66" s="35">
        <v>45966.0</v>
      </c>
      <c r="F66" s="14"/>
      <c r="G66" s="53">
        <v>41.182593796674496</v>
      </c>
      <c r="H66" s="32">
        <v>5.0</v>
      </c>
      <c r="I66" s="16">
        <f t="shared" si="7"/>
        <v>0.3418155285</v>
      </c>
      <c r="J66" s="33">
        <f t="shared" si="5"/>
        <v>46.52440933</v>
      </c>
      <c r="K66" s="13"/>
      <c r="L66" s="33">
        <f t="shared" si="6"/>
        <v>46.52440933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30.0" customHeight="1">
      <c r="A67" s="41">
        <v>61.0</v>
      </c>
      <c r="B67" s="13" t="s">
        <v>164</v>
      </c>
      <c r="C67" s="13"/>
      <c r="D67" s="30" t="s">
        <v>94</v>
      </c>
      <c r="E67" s="35">
        <v>45966.0</v>
      </c>
      <c r="F67" s="14"/>
      <c r="G67" s="53">
        <v>143.53462524967068</v>
      </c>
      <c r="H67" s="32">
        <v>20.0</v>
      </c>
      <c r="I67" s="16">
        <f t="shared" si="7"/>
        <v>1.19133739</v>
      </c>
      <c r="J67" s="33">
        <f t="shared" si="5"/>
        <v>164.7259626</v>
      </c>
      <c r="K67" s="13"/>
      <c r="L67" s="33">
        <f t="shared" si="6"/>
        <v>164.7259626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30.0" customHeight="1">
      <c r="A68" s="41">
        <v>62.0</v>
      </c>
      <c r="B68" s="25" t="s">
        <v>180</v>
      </c>
      <c r="C68" s="13"/>
      <c r="D68" s="30" t="s">
        <v>94</v>
      </c>
      <c r="E68" s="35"/>
      <c r="F68" s="14"/>
      <c r="G68" s="53">
        <v>209.67250584790912</v>
      </c>
      <c r="H68" s="32"/>
      <c r="I68" s="16">
        <f t="shared" si="7"/>
        <v>1.740281799</v>
      </c>
      <c r="J68" s="33">
        <f t="shared" si="5"/>
        <v>211.4127876</v>
      </c>
      <c r="K68" s="13"/>
      <c r="L68" s="33">
        <f t="shared" si="6"/>
        <v>211.4127876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30.0" customHeight="1">
      <c r="A69" s="41">
        <v>63.0</v>
      </c>
      <c r="B69" s="13" t="s">
        <v>168</v>
      </c>
      <c r="C69" s="13"/>
      <c r="D69" s="30" t="s">
        <v>94</v>
      </c>
      <c r="E69" s="35"/>
      <c r="F69" s="14"/>
      <c r="G69" s="53">
        <v>101.50923027468498</v>
      </c>
      <c r="H69" s="32"/>
      <c r="I69" s="16">
        <f t="shared" si="7"/>
        <v>0.8425266113</v>
      </c>
      <c r="J69" s="33">
        <f t="shared" si="5"/>
        <v>102.3517569</v>
      </c>
      <c r="K69" s="13"/>
      <c r="L69" s="33">
        <f t="shared" si="6"/>
        <v>102.3517569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30.0" customHeight="1">
      <c r="A70" s="41">
        <v>64.0</v>
      </c>
      <c r="B70" s="13" t="s">
        <v>169</v>
      </c>
      <c r="C70" s="13"/>
      <c r="D70" s="30" t="s">
        <v>94</v>
      </c>
      <c r="E70" s="35">
        <v>45967.0</v>
      </c>
      <c r="F70" s="14"/>
      <c r="G70" s="53">
        <v>71.67730269255497</v>
      </c>
      <c r="H70" s="32">
        <v>20.0</v>
      </c>
      <c r="I70" s="16">
        <f t="shared" si="7"/>
        <v>0.5949216123</v>
      </c>
      <c r="J70" s="33">
        <f t="shared" si="5"/>
        <v>92.2722243</v>
      </c>
      <c r="K70" s="13"/>
      <c r="L70" s="33">
        <f t="shared" si="6"/>
        <v>92.2722243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30.0" customHeight="1">
      <c r="A71" s="41">
        <v>65.0</v>
      </c>
      <c r="B71" s="13" t="s">
        <v>181</v>
      </c>
      <c r="C71" s="13"/>
      <c r="D71" s="30" t="s">
        <v>94</v>
      </c>
      <c r="E71" s="31">
        <v>45972.0</v>
      </c>
      <c r="F71" s="14"/>
      <c r="G71" s="53">
        <v>61.173073955746645</v>
      </c>
      <c r="H71" s="32">
        <v>10.0</v>
      </c>
      <c r="I71" s="16">
        <f t="shared" si="7"/>
        <v>0.5077365138</v>
      </c>
      <c r="J71" s="33">
        <f t="shared" si="5"/>
        <v>71.68081047</v>
      </c>
      <c r="K71" s="13"/>
      <c r="L71" s="33">
        <f t="shared" si="6"/>
        <v>71.68081047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30.0" customHeight="1">
      <c r="A72" s="41">
        <v>66.0</v>
      </c>
      <c r="B72" s="13" t="s">
        <v>171</v>
      </c>
      <c r="C72" s="13"/>
      <c r="D72" s="30" t="s">
        <v>94</v>
      </c>
      <c r="E72" s="31">
        <v>45962.0</v>
      </c>
      <c r="F72" s="14"/>
      <c r="G72" s="53">
        <v>99.16977401938163</v>
      </c>
      <c r="H72" s="32">
        <v>19.52</v>
      </c>
      <c r="I72" s="16">
        <f t="shared" si="7"/>
        <v>0.8231091244</v>
      </c>
      <c r="J72" s="33">
        <f t="shared" si="5"/>
        <v>119.5128831</v>
      </c>
      <c r="K72" s="13"/>
      <c r="L72" s="33">
        <f t="shared" si="6"/>
        <v>119.5128831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30.0" customHeight="1">
      <c r="A73" s="41">
        <v>67.0</v>
      </c>
      <c r="B73" s="13" t="s">
        <v>182</v>
      </c>
      <c r="C73" s="13"/>
      <c r="D73" s="30" t="s">
        <v>94</v>
      </c>
      <c r="E73" s="31">
        <v>45962.0</v>
      </c>
      <c r="F73" s="14"/>
      <c r="G73" s="53">
        <v>40.500761317869994</v>
      </c>
      <c r="H73" s="32">
        <v>10.0</v>
      </c>
      <c r="I73" s="16">
        <f t="shared" si="7"/>
        <v>0.3361563189</v>
      </c>
      <c r="J73" s="33">
        <f t="shared" si="5"/>
        <v>50.83691764</v>
      </c>
      <c r="K73" s="13"/>
      <c r="L73" s="33">
        <f t="shared" si="6"/>
        <v>50.83691764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30.0" customHeight="1">
      <c r="A74" s="41">
        <v>68.0</v>
      </c>
      <c r="B74" s="13" t="s">
        <v>183</v>
      </c>
      <c r="C74" s="13"/>
      <c r="D74" s="30" t="s">
        <v>94</v>
      </c>
      <c r="E74" s="14"/>
      <c r="F74" s="14"/>
      <c r="G74" s="53">
        <v>20.41776131787</v>
      </c>
      <c r="H74" s="32"/>
      <c r="I74" s="16">
        <f t="shared" si="7"/>
        <v>0.1694674189</v>
      </c>
      <c r="J74" s="33">
        <f t="shared" si="5"/>
        <v>20.58722874</v>
      </c>
      <c r="K74" s="13"/>
      <c r="L74" s="33">
        <f t="shared" si="6"/>
        <v>20.58722874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30.0" customHeight="1">
      <c r="A75" s="41">
        <v>69.0</v>
      </c>
      <c r="B75" s="13" t="s">
        <v>184</v>
      </c>
      <c r="C75" s="13"/>
      <c r="D75" s="30" t="s">
        <v>94</v>
      </c>
      <c r="E75" s="35">
        <v>45969.0</v>
      </c>
      <c r="F75" s="14"/>
      <c r="G75" s="53">
        <v>50.500761317869994</v>
      </c>
      <c r="H75" s="32">
        <v>30.0</v>
      </c>
      <c r="I75" s="16">
        <f t="shared" si="7"/>
        <v>0.4191563189</v>
      </c>
      <c r="J75" s="33">
        <f t="shared" si="5"/>
        <v>80.91991764</v>
      </c>
      <c r="K75" s="13"/>
      <c r="L75" s="33">
        <f t="shared" si="6"/>
        <v>80.91991764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30.0" customHeight="1">
      <c r="A76" s="41">
        <v>70.0</v>
      </c>
      <c r="B76" s="13" t="s">
        <v>185</v>
      </c>
      <c r="C76" s="13"/>
      <c r="D76" s="30" t="s">
        <v>94</v>
      </c>
      <c r="E76" s="35">
        <v>45969.0</v>
      </c>
      <c r="F76" s="14"/>
      <c r="G76" s="53">
        <v>81.00152263573999</v>
      </c>
      <c r="H76" s="32">
        <v>20.0</v>
      </c>
      <c r="I76" s="16">
        <f t="shared" si="7"/>
        <v>0.6723126379</v>
      </c>
      <c r="J76" s="33">
        <f t="shared" si="5"/>
        <v>101.6738353</v>
      </c>
      <c r="K76" s="13"/>
      <c r="L76" s="33">
        <f t="shared" si="6"/>
        <v>101.6738353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30.0" customHeight="1">
      <c r="A77" s="41">
        <v>71.0</v>
      </c>
      <c r="B77" s="13" t="s">
        <v>186</v>
      </c>
      <c r="C77" s="13"/>
      <c r="D77" s="30" t="s">
        <v>94</v>
      </c>
      <c r="E77" s="35">
        <v>45967.0</v>
      </c>
      <c r="F77" s="14"/>
      <c r="G77" s="53">
        <v>735.8486422680501</v>
      </c>
      <c r="H77" s="32">
        <v>55.0</v>
      </c>
      <c r="I77" s="16">
        <f t="shared" si="7"/>
        <v>6.107543731</v>
      </c>
      <c r="J77" s="33">
        <f t="shared" si="5"/>
        <v>796.956186</v>
      </c>
      <c r="K77" s="13"/>
      <c r="L77" s="33">
        <f t="shared" si="6"/>
        <v>796.956186</v>
      </c>
      <c r="M77" s="4"/>
      <c r="N77" s="4" t="s">
        <v>201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30.0" customHeight="1">
      <c r="A78" s="41">
        <v>72.0</v>
      </c>
      <c r="B78" s="13" t="s">
        <v>187</v>
      </c>
      <c r="C78" s="13"/>
      <c r="D78" s="30" t="s">
        <v>94</v>
      </c>
      <c r="E78" s="35">
        <v>45965.0</v>
      </c>
      <c r="F78" s="14"/>
      <c r="G78" s="53">
        <v>40.500761317869994</v>
      </c>
      <c r="H78" s="32">
        <v>10.0</v>
      </c>
      <c r="I78" s="16">
        <f t="shared" si="7"/>
        <v>0.3361563189</v>
      </c>
      <c r="J78" s="33">
        <f t="shared" si="5"/>
        <v>50.83691764</v>
      </c>
      <c r="K78" s="13"/>
      <c r="L78" s="33">
        <f t="shared" si="6"/>
        <v>50.83691764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30.0" customHeight="1">
      <c r="A79" s="41">
        <v>73.0</v>
      </c>
      <c r="B79" s="13" t="s">
        <v>191</v>
      </c>
      <c r="C79" s="13"/>
      <c r="D79" s="30" t="s">
        <v>94</v>
      </c>
      <c r="E79" s="35">
        <v>45966.0</v>
      </c>
      <c r="F79" s="14"/>
      <c r="G79" s="53">
        <v>151.24844450000003</v>
      </c>
      <c r="H79" s="32">
        <v>50.0</v>
      </c>
      <c r="I79" s="16">
        <f t="shared" si="7"/>
        <v>1.255362089</v>
      </c>
      <c r="J79" s="33">
        <f t="shared" si="5"/>
        <v>202.5038066</v>
      </c>
      <c r="K79" s="13"/>
      <c r="L79" s="33">
        <f t="shared" si="6"/>
        <v>202.5038066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30.0" customHeight="1">
      <c r="A80" s="41">
        <v>74.0</v>
      </c>
      <c r="B80" s="13" t="s">
        <v>192</v>
      </c>
      <c r="C80" s="13"/>
      <c r="D80" s="30" t="s">
        <v>94</v>
      </c>
      <c r="E80" s="35"/>
      <c r="F80" s="14"/>
      <c r="G80" s="53">
        <v>151.24844450000003</v>
      </c>
      <c r="H80" s="32"/>
      <c r="I80" s="16">
        <f t="shared" si="7"/>
        <v>1.255362089</v>
      </c>
      <c r="J80" s="33">
        <f t="shared" si="5"/>
        <v>152.5038066</v>
      </c>
      <c r="K80" s="13"/>
      <c r="L80" s="33">
        <f t="shared" si="6"/>
        <v>152.5038066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30.0" customHeight="1">
      <c r="A81" s="41">
        <v>76.0</v>
      </c>
      <c r="B81" s="13" t="s">
        <v>199</v>
      </c>
      <c r="C81" s="13"/>
      <c r="D81" s="30" t="s">
        <v>94</v>
      </c>
      <c r="E81" s="35">
        <v>45972.0</v>
      </c>
      <c r="F81" s="14"/>
      <c r="G81" s="53">
        <v>10.0</v>
      </c>
      <c r="H81" s="32">
        <v>15.0</v>
      </c>
      <c r="I81" s="16">
        <f t="shared" si="7"/>
        <v>0.083</v>
      </c>
      <c r="J81" s="33">
        <f t="shared" si="5"/>
        <v>25.083</v>
      </c>
      <c r="K81" s="13"/>
      <c r="L81" s="33">
        <f t="shared" si="6"/>
        <v>25.083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0" customHeight="1">
      <c r="A82" s="17"/>
      <c r="B82" s="13"/>
      <c r="C82" s="13"/>
      <c r="D82" s="13"/>
      <c r="E82" s="13"/>
      <c r="F82" s="13"/>
      <c r="G82" s="55">
        <f t="shared" ref="G82:J82" si="8">SUM(G7:G81)</f>
        <v>61588.99436</v>
      </c>
      <c r="H82" s="55">
        <f t="shared" si="8"/>
        <v>1339.84</v>
      </c>
      <c r="I82" s="55">
        <f t="shared" si="8"/>
        <v>511.1886532</v>
      </c>
      <c r="J82" s="55">
        <f t="shared" si="8"/>
        <v>63440.02301</v>
      </c>
      <c r="K82" s="55">
        <f>SUM(K7:K72)</f>
        <v>0</v>
      </c>
      <c r="L82" s="55">
        <f>SUM(L7:L81)</f>
        <v>63440.02301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21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82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86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202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5">
        <v>46012.0</v>
      </c>
      <c r="F7" s="31"/>
      <c r="G7" s="52">
        <v>5250.314811012591</v>
      </c>
      <c r="H7" s="32">
        <v>100.0</v>
      </c>
      <c r="I7" s="33">
        <f t="shared" ref="I7:I23" si="1">G7*0.83%</f>
        <v>43.57761293</v>
      </c>
      <c r="J7" s="33">
        <f t="shared" ref="J7:J84" si="2">G7+H7+I7</f>
        <v>5393.892424</v>
      </c>
      <c r="K7" s="30"/>
      <c r="L7" s="33">
        <f t="shared" ref="L7:L23" si="3">J7-K7</f>
        <v>5393.892424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0" t="s">
        <v>92</v>
      </c>
      <c r="E8" s="35">
        <v>45995.0</v>
      </c>
      <c r="F8" s="31"/>
      <c r="G8" s="52">
        <v>9076.649318024176</v>
      </c>
      <c r="H8" s="32">
        <v>60.0</v>
      </c>
      <c r="I8" s="33">
        <f t="shared" si="1"/>
        <v>75.33618934</v>
      </c>
      <c r="J8" s="33">
        <f t="shared" si="2"/>
        <v>9211.985507</v>
      </c>
      <c r="K8" s="30"/>
      <c r="L8" s="33">
        <f t="shared" si="3"/>
        <v>9211.985507</v>
      </c>
      <c r="M8" s="4"/>
      <c r="N8" s="4" t="s">
        <v>203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5"/>
      <c r="F9" s="31"/>
      <c r="G9" s="52">
        <v>9084.09053081332</v>
      </c>
      <c r="H9" s="32"/>
      <c r="I9" s="33">
        <f t="shared" si="1"/>
        <v>75.39795141</v>
      </c>
      <c r="J9" s="33">
        <f t="shared" si="2"/>
        <v>9159.488482</v>
      </c>
      <c r="K9" s="30"/>
      <c r="L9" s="33">
        <f t="shared" si="3"/>
        <v>9159.488482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/>
      <c r="F10" s="35"/>
      <c r="G10" s="52">
        <v>224.23366233274675</v>
      </c>
      <c r="H10" s="32"/>
      <c r="I10" s="32">
        <f t="shared" si="1"/>
        <v>1.861139397</v>
      </c>
      <c r="J10" s="33">
        <f t="shared" si="2"/>
        <v>226.0948017</v>
      </c>
      <c r="K10" s="51"/>
      <c r="L10" s="32">
        <f t="shared" si="3"/>
        <v>226.0948017</v>
      </c>
      <c r="M10" s="63"/>
      <c r="N10" s="4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189</v>
      </c>
      <c r="C11" s="34" t="s">
        <v>91</v>
      </c>
      <c r="D11" s="34" t="s">
        <v>92</v>
      </c>
      <c r="E11" s="35"/>
      <c r="F11" s="35"/>
      <c r="G11" s="52">
        <v>738.3314146508858</v>
      </c>
      <c r="H11" s="32"/>
      <c r="I11" s="32">
        <f t="shared" si="1"/>
        <v>6.128150742</v>
      </c>
      <c r="J11" s="33">
        <f t="shared" si="2"/>
        <v>744.4595654</v>
      </c>
      <c r="K11" s="34"/>
      <c r="L11" s="32">
        <f t="shared" si="3"/>
        <v>744.4595654</v>
      </c>
      <c r="M11" s="63"/>
      <c r="N11" s="4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37</v>
      </c>
      <c r="C12" s="34" t="s">
        <v>91</v>
      </c>
      <c r="D12" s="34" t="s">
        <v>92</v>
      </c>
      <c r="E12" s="35"/>
      <c r="F12" s="35"/>
      <c r="G12" s="52">
        <v>1191.626375112304</v>
      </c>
      <c r="H12" s="33"/>
      <c r="I12" s="32">
        <f t="shared" si="1"/>
        <v>9.890498913</v>
      </c>
      <c r="J12" s="33">
        <f t="shared" si="2"/>
        <v>1201.516874</v>
      </c>
      <c r="K12" s="34"/>
      <c r="L12" s="32">
        <f t="shared" si="3"/>
        <v>1201.516874</v>
      </c>
      <c r="M12" s="63"/>
      <c r="N12" s="4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46006.0</v>
      </c>
      <c r="F13" s="35"/>
      <c r="G13" s="52">
        <v>9144.954837577126</v>
      </c>
      <c r="H13" s="32">
        <v>73.64</v>
      </c>
      <c r="I13" s="32">
        <f t="shared" si="1"/>
        <v>75.90312515</v>
      </c>
      <c r="J13" s="33">
        <f t="shared" si="2"/>
        <v>9294.497963</v>
      </c>
      <c r="K13" s="34"/>
      <c r="L13" s="32">
        <f t="shared" si="3"/>
        <v>9294.497963</v>
      </c>
      <c r="M13" s="63"/>
      <c r="N13" s="4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41">
        <v>8.0</v>
      </c>
      <c r="B14" s="34" t="s">
        <v>173</v>
      </c>
      <c r="C14" s="34" t="s">
        <v>91</v>
      </c>
      <c r="D14" s="34" t="s">
        <v>92</v>
      </c>
      <c r="E14" s="35">
        <v>46001.0</v>
      </c>
      <c r="F14" s="35"/>
      <c r="G14" s="52">
        <v>2702.8496118595813</v>
      </c>
      <c r="H14" s="32">
        <v>50.0</v>
      </c>
      <c r="I14" s="32">
        <f t="shared" si="1"/>
        <v>22.43365178</v>
      </c>
      <c r="J14" s="33">
        <f t="shared" si="2"/>
        <v>2775.283264</v>
      </c>
      <c r="K14" s="51"/>
      <c r="L14" s="32">
        <f t="shared" si="3"/>
        <v>2775.283264</v>
      </c>
      <c r="M14" s="63"/>
      <c r="N14" s="4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41">
        <v>9.0</v>
      </c>
      <c r="B15" s="34" t="s">
        <v>174</v>
      </c>
      <c r="C15" s="30" t="s">
        <v>91</v>
      </c>
      <c r="D15" s="30" t="s">
        <v>94</v>
      </c>
      <c r="E15" s="35">
        <v>45992.0</v>
      </c>
      <c r="F15" s="31"/>
      <c r="G15" s="52">
        <v>4369.993951493085</v>
      </c>
      <c r="H15" s="32">
        <v>20.0</v>
      </c>
      <c r="I15" s="33">
        <f t="shared" si="1"/>
        <v>36.2709498</v>
      </c>
      <c r="J15" s="33">
        <f t="shared" si="2"/>
        <v>4426.264901</v>
      </c>
      <c r="K15" s="30"/>
      <c r="L15" s="33">
        <f t="shared" si="3"/>
        <v>4426.264901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41">
        <v>10.0</v>
      </c>
      <c r="B16" s="30" t="s">
        <v>49</v>
      </c>
      <c r="C16" s="30" t="s">
        <v>91</v>
      </c>
      <c r="D16" s="30" t="s">
        <v>94</v>
      </c>
      <c r="E16" s="35">
        <v>45999.0</v>
      </c>
      <c r="F16" s="31" t="s">
        <v>38</v>
      </c>
      <c r="G16" s="52">
        <v>298.4460549408411</v>
      </c>
      <c r="H16" s="32">
        <v>10.0</v>
      </c>
      <c r="I16" s="33">
        <f t="shared" si="1"/>
        <v>2.477102256</v>
      </c>
      <c r="J16" s="33">
        <f t="shared" si="2"/>
        <v>310.9231572</v>
      </c>
      <c r="K16" s="30"/>
      <c r="L16" s="33">
        <f t="shared" si="3"/>
        <v>310.9231572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5"/>
      <c r="F17" s="31" t="s">
        <v>39</v>
      </c>
      <c r="G17" s="52">
        <v>567.7662288863215</v>
      </c>
      <c r="H17" s="32"/>
      <c r="I17" s="33">
        <f t="shared" si="1"/>
        <v>4.7124597</v>
      </c>
      <c r="J17" s="33">
        <f t="shared" si="2"/>
        <v>572.4786886</v>
      </c>
      <c r="K17" s="30"/>
      <c r="L17" s="33">
        <f t="shared" si="3"/>
        <v>572.4786886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5"/>
      <c r="F18" s="31" t="s">
        <v>34</v>
      </c>
      <c r="G18" s="52">
        <v>123.7817675878727</v>
      </c>
      <c r="H18" s="32"/>
      <c r="I18" s="33">
        <f t="shared" si="1"/>
        <v>1.027388671</v>
      </c>
      <c r="J18" s="33">
        <f t="shared" si="2"/>
        <v>124.8091563</v>
      </c>
      <c r="K18" s="30"/>
      <c r="L18" s="33">
        <f t="shared" si="3"/>
        <v>124.8091563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5"/>
      <c r="F19" s="31" t="s">
        <v>38</v>
      </c>
      <c r="G19" s="52">
        <v>97.98138313203488</v>
      </c>
      <c r="H19" s="32"/>
      <c r="I19" s="33">
        <f t="shared" si="1"/>
        <v>0.81324548</v>
      </c>
      <c r="J19" s="33">
        <f t="shared" si="2"/>
        <v>98.79462861</v>
      </c>
      <c r="K19" s="30"/>
      <c r="L19" s="33">
        <f t="shared" si="3"/>
        <v>98.79462861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5"/>
      <c r="F20" s="31" t="s">
        <v>38</v>
      </c>
      <c r="G20" s="52">
        <v>371.8831790794689</v>
      </c>
      <c r="H20" s="33"/>
      <c r="I20" s="32">
        <f t="shared" si="1"/>
        <v>3.086630386</v>
      </c>
      <c r="J20" s="33">
        <f t="shared" si="2"/>
        <v>374.9698095</v>
      </c>
      <c r="K20" s="34"/>
      <c r="L20" s="32">
        <f t="shared" si="3"/>
        <v>374.9698095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5"/>
      <c r="F21" s="35" t="s">
        <v>34</v>
      </c>
      <c r="G21" s="52">
        <v>3089.896697640611</v>
      </c>
      <c r="H21" s="32"/>
      <c r="I21" s="33">
        <f t="shared" si="1"/>
        <v>25.64614259</v>
      </c>
      <c r="J21" s="33">
        <f t="shared" si="2"/>
        <v>3115.54284</v>
      </c>
      <c r="K21" s="30"/>
      <c r="L21" s="33">
        <f t="shared" si="3"/>
        <v>3115.54284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5">
        <v>46022.0</v>
      </c>
      <c r="F22" s="31" t="s">
        <v>33</v>
      </c>
      <c r="G22" s="52">
        <v>838.2049025481042</v>
      </c>
      <c r="H22" s="32">
        <v>30.0</v>
      </c>
      <c r="I22" s="33">
        <f t="shared" si="1"/>
        <v>6.957100691</v>
      </c>
      <c r="J22" s="33">
        <f t="shared" si="2"/>
        <v>875.1620032</v>
      </c>
      <c r="K22" s="30"/>
      <c r="L22" s="33">
        <f t="shared" si="3"/>
        <v>875.1620032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5">
        <v>46004.0</v>
      </c>
      <c r="F23" s="31" t="s">
        <v>38</v>
      </c>
      <c r="G23" s="52">
        <v>82.36298131962147</v>
      </c>
      <c r="H23" s="32">
        <v>10.0</v>
      </c>
      <c r="I23" s="32">
        <f t="shared" si="1"/>
        <v>0.683612745</v>
      </c>
      <c r="J23" s="33">
        <f t="shared" si="2"/>
        <v>93.04659406</v>
      </c>
      <c r="K23" s="34"/>
      <c r="L23" s="32">
        <f t="shared" si="3"/>
        <v>93.04659406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66">
        <v>18.0</v>
      </c>
      <c r="B24" s="76" t="s">
        <v>41</v>
      </c>
      <c r="C24" s="76" t="s">
        <v>91</v>
      </c>
      <c r="D24" s="68" t="s">
        <v>94</v>
      </c>
      <c r="E24" s="77"/>
      <c r="F24" s="77" t="s">
        <v>34</v>
      </c>
      <c r="G24" s="78">
        <v>-0.001818975090884578</v>
      </c>
      <c r="H24" s="71"/>
      <c r="I24" s="72">
        <v>0.0</v>
      </c>
      <c r="J24" s="73">
        <f t="shared" si="2"/>
        <v>-0.001818975091</v>
      </c>
      <c r="K24" s="68"/>
      <c r="L24" s="72">
        <f>I24+J24</f>
        <v>-0.001818975091</v>
      </c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</row>
    <row r="25" ht="24.75" customHeight="1">
      <c r="A25" s="41">
        <v>19.0</v>
      </c>
      <c r="B25" s="30" t="s">
        <v>95</v>
      </c>
      <c r="C25" s="30" t="s">
        <v>93</v>
      </c>
      <c r="D25" s="30" t="s">
        <v>94</v>
      </c>
      <c r="E25" s="35"/>
      <c r="F25" s="31" t="s">
        <v>39</v>
      </c>
      <c r="G25" s="52">
        <v>941.254148430858</v>
      </c>
      <c r="H25" s="32"/>
      <c r="I25" s="33">
        <f t="shared" ref="I25:I47" si="4">G25*0.83%</f>
        <v>7.812409432</v>
      </c>
      <c r="J25" s="33">
        <f t="shared" si="2"/>
        <v>949.0665579</v>
      </c>
      <c r="K25" s="30"/>
      <c r="L25" s="33">
        <f t="shared" ref="L25:L84" si="5">J25-K25</f>
        <v>949.0665579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97</v>
      </c>
      <c r="C26" s="30" t="s">
        <v>93</v>
      </c>
      <c r="D26" s="30" t="s">
        <v>94</v>
      </c>
      <c r="E26" s="35"/>
      <c r="F26" s="31" t="s">
        <v>34</v>
      </c>
      <c r="G26" s="52">
        <v>91.78930666361168</v>
      </c>
      <c r="H26" s="32"/>
      <c r="I26" s="32">
        <f t="shared" si="4"/>
        <v>0.7618512453</v>
      </c>
      <c r="J26" s="33">
        <f t="shared" si="2"/>
        <v>92.55115791</v>
      </c>
      <c r="K26" s="34"/>
      <c r="L26" s="32">
        <f t="shared" si="5"/>
        <v>92.55115791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4" t="s">
        <v>98</v>
      </c>
      <c r="C27" s="34" t="s">
        <v>93</v>
      </c>
      <c r="D27" s="30" t="s">
        <v>94</v>
      </c>
      <c r="E27" s="35"/>
      <c r="F27" s="35" t="s">
        <v>38</v>
      </c>
      <c r="G27" s="52">
        <v>134.73395801253955</v>
      </c>
      <c r="H27" s="32"/>
      <c r="I27" s="33">
        <f t="shared" si="4"/>
        <v>1.118291852</v>
      </c>
      <c r="J27" s="33">
        <f t="shared" si="2"/>
        <v>135.8522499</v>
      </c>
      <c r="K27" s="30"/>
      <c r="L27" s="33">
        <f t="shared" si="5"/>
        <v>135.8522499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61</v>
      </c>
      <c r="C28" s="30" t="s">
        <v>91</v>
      </c>
      <c r="D28" s="30" t="s">
        <v>94</v>
      </c>
      <c r="E28" s="35"/>
      <c r="F28" s="31" t="s">
        <v>38</v>
      </c>
      <c r="G28" s="52">
        <v>158.6261027304273</v>
      </c>
      <c r="H28" s="32"/>
      <c r="I28" s="33">
        <f t="shared" si="4"/>
        <v>1.316596653</v>
      </c>
      <c r="J28" s="33">
        <f t="shared" si="2"/>
        <v>159.9426994</v>
      </c>
      <c r="K28" s="30"/>
      <c r="L28" s="33">
        <f t="shared" si="5"/>
        <v>159.9426994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0" t="s">
        <v>63</v>
      </c>
      <c r="C29" s="30" t="s">
        <v>91</v>
      </c>
      <c r="D29" s="30" t="s">
        <v>94</v>
      </c>
      <c r="E29" s="35"/>
      <c r="F29" s="31" t="s">
        <v>39</v>
      </c>
      <c r="G29" s="52">
        <v>1308.5404284741574</v>
      </c>
      <c r="H29" s="32"/>
      <c r="I29" s="33">
        <f t="shared" si="4"/>
        <v>10.86088556</v>
      </c>
      <c r="J29" s="33">
        <f t="shared" si="2"/>
        <v>1319.401314</v>
      </c>
      <c r="K29" s="30"/>
      <c r="L29" s="33">
        <f t="shared" si="5"/>
        <v>1319.401314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4" t="s">
        <v>64</v>
      </c>
      <c r="C30" s="30" t="s">
        <v>91</v>
      </c>
      <c r="D30" s="30" t="s">
        <v>94</v>
      </c>
      <c r="E30" s="35"/>
      <c r="F30" s="31" t="s">
        <v>40</v>
      </c>
      <c r="G30" s="52">
        <v>747.8406841239729</v>
      </c>
      <c r="H30" s="39"/>
      <c r="I30" s="33">
        <f t="shared" si="4"/>
        <v>6.207077678</v>
      </c>
      <c r="J30" s="33">
        <f t="shared" si="2"/>
        <v>754.0477618</v>
      </c>
      <c r="K30" s="30"/>
      <c r="L30" s="33">
        <f t="shared" si="5"/>
        <v>754.0477618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65</v>
      </c>
      <c r="C31" s="30" t="s">
        <v>91</v>
      </c>
      <c r="D31" s="30" t="s">
        <v>94</v>
      </c>
      <c r="E31" s="35"/>
      <c r="F31" s="31" t="s">
        <v>39</v>
      </c>
      <c r="G31" s="52">
        <v>49.126666236314556</v>
      </c>
      <c r="H31" s="39"/>
      <c r="I31" s="33">
        <f t="shared" si="4"/>
        <v>0.4077513298</v>
      </c>
      <c r="J31" s="33">
        <f t="shared" si="2"/>
        <v>49.53441757</v>
      </c>
      <c r="K31" s="30"/>
      <c r="L31" s="33">
        <f t="shared" si="5"/>
        <v>49.53441757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66</v>
      </c>
      <c r="C32" s="30" t="s">
        <v>91</v>
      </c>
      <c r="D32" s="30" t="s">
        <v>94</v>
      </c>
      <c r="E32" s="35"/>
      <c r="F32" s="31" t="s">
        <v>33</v>
      </c>
      <c r="G32" s="52">
        <v>75.32906324473677</v>
      </c>
      <c r="H32" s="39"/>
      <c r="I32" s="33">
        <f t="shared" si="4"/>
        <v>0.6252312249</v>
      </c>
      <c r="J32" s="33">
        <f t="shared" si="2"/>
        <v>75.95429447</v>
      </c>
      <c r="K32" s="30"/>
      <c r="L32" s="33">
        <f t="shared" si="5"/>
        <v>75.95429447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99</v>
      </c>
      <c r="C33" s="30" t="s">
        <v>91</v>
      </c>
      <c r="D33" s="30" t="s">
        <v>94</v>
      </c>
      <c r="E33" s="35"/>
      <c r="F33" s="31" t="s">
        <v>38</v>
      </c>
      <c r="G33" s="52">
        <v>254.17119432873457</v>
      </c>
      <c r="H33" s="32"/>
      <c r="I33" s="33">
        <f t="shared" si="4"/>
        <v>2.109620913</v>
      </c>
      <c r="J33" s="33">
        <f t="shared" si="2"/>
        <v>256.2808152</v>
      </c>
      <c r="K33" s="30"/>
      <c r="L33" s="33">
        <f t="shared" si="5"/>
        <v>256.2808152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41">
        <v>28.0</v>
      </c>
      <c r="B34" s="30" t="s">
        <v>100</v>
      </c>
      <c r="C34" s="30" t="s">
        <v>93</v>
      </c>
      <c r="D34" s="30" t="s">
        <v>94</v>
      </c>
      <c r="E34" s="35"/>
      <c r="F34" s="31" t="s">
        <v>39</v>
      </c>
      <c r="G34" s="52">
        <v>77.39663581928299</v>
      </c>
      <c r="H34" s="32"/>
      <c r="I34" s="33">
        <f t="shared" si="4"/>
        <v>0.6423920773</v>
      </c>
      <c r="J34" s="33">
        <f t="shared" si="2"/>
        <v>78.0390279</v>
      </c>
      <c r="K34" s="30"/>
      <c r="L34" s="33">
        <f t="shared" si="5"/>
        <v>78.0390279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4.75" customHeight="1">
      <c r="A35" s="41">
        <v>29.0</v>
      </c>
      <c r="B35" s="30" t="s">
        <v>101</v>
      </c>
      <c r="C35" s="30" t="s">
        <v>93</v>
      </c>
      <c r="D35" s="30" t="s">
        <v>94</v>
      </c>
      <c r="E35" s="35"/>
      <c r="F35" s="31"/>
      <c r="G35" s="52">
        <v>2139.0432784841228</v>
      </c>
      <c r="H35" s="32"/>
      <c r="I35" s="33">
        <f t="shared" si="4"/>
        <v>17.75405921</v>
      </c>
      <c r="J35" s="33">
        <f t="shared" si="2"/>
        <v>2156.797338</v>
      </c>
      <c r="K35" s="30"/>
      <c r="L35" s="33">
        <f t="shared" si="5"/>
        <v>2156.797338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102</v>
      </c>
      <c r="C36" s="30"/>
      <c r="D36" s="30" t="s">
        <v>94</v>
      </c>
      <c r="E36" s="35"/>
      <c r="F36" s="31"/>
      <c r="G36" s="52">
        <v>18.342788940709188</v>
      </c>
      <c r="H36" s="32"/>
      <c r="I36" s="33">
        <f t="shared" si="4"/>
        <v>0.1522451482</v>
      </c>
      <c r="J36" s="33">
        <f t="shared" si="2"/>
        <v>18.49503409</v>
      </c>
      <c r="K36" s="30"/>
      <c r="L36" s="33">
        <f t="shared" si="5"/>
        <v>18.49503409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41">
        <v>31.0</v>
      </c>
      <c r="B37" s="30" t="s">
        <v>104</v>
      </c>
      <c r="C37" s="30" t="s">
        <v>93</v>
      </c>
      <c r="D37" s="30" t="s">
        <v>94</v>
      </c>
      <c r="E37" s="35">
        <v>46000.0</v>
      </c>
      <c r="F37" s="31"/>
      <c r="G37" s="52">
        <v>455.66303473734115</v>
      </c>
      <c r="H37" s="32">
        <v>20.0</v>
      </c>
      <c r="I37" s="33">
        <f t="shared" si="4"/>
        <v>3.782003188</v>
      </c>
      <c r="J37" s="33">
        <f t="shared" si="2"/>
        <v>479.4450379</v>
      </c>
      <c r="K37" s="30"/>
      <c r="L37" s="33">
        <f t="shared" si="5"/>
        <v>479.4450379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41">
        <v>32.0</v>
      </c>
      <c r="B38" s="30" t="s">
        <v>190</v>
      </c>
      <c r="C38" s="34"/>
      <c r="D38" s="34" t="s">
        <v>94</v>
      </c>
      <c r="E38" s="35">
        <v>46001.0</v>
      </c>
      <c r="F38" s="35"/>
      <c r="G38" s="52">
        <v>397.34931623286536</v>
      </c>
      <c r="H38" s="32">
        <v>25.0</v>
      </c>
      <c r="I38" s="32">
        <f t="shared" si="4"/>
        <v>3.297999325</v>
      </c>
      <c r="J38" s="32">
        <f t="shared" si="2"/>
        <v>425.6473156</v>
      </c>
      <c r="K38" s="34"/>
      <c r="L38" s="32">
        <f t="shared" si="5"/>
        <v>425.6473156</v>
      </c>
      <c r="M38" s="63"/>
      <c r="N38" s="4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175</v>
      </c>
      <c r="C39" s="34"/>
      <c r="D39" s="34" t="s">
        <v>94</v>
      </c>
      <c r="E39" s="35">
        <v>45993.0</v>
      </c>
      <c r="F39" s="35"/>
      <c r="G39" s="52">
        <v>881.5095824374088</v>
      </c>
      <c r="H39" s="32">
        <v>50.0</v>
      </c>
      <c r="I39" s="32">
        <f t="shared" si="4"/>
        <v>7.316529534</v>
      </c>
      <c r="J39" s="32">
        <f t="shared" si="2"/>
        <v>938.826112</v>
      </c>
      <c r="K39" s="34"/>
      <c r="L39" s="32">
        <f t="shared" si="5"/>
        <v>938.826112</v>
      </c>
      <c r="M39" s="63"/>
      <c r="N39" s="4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108</v>
      </c>
      <c r="C40" s="34"/>
      <c r="D40" s="34" t="s">
        <v>94</v>
      </c>
      <c r="E40" s="35"/>
      <c r="F40" s="35"/>
      <c r="G40" s="52">
        <v>66.22773789565927</v>
      </c>
      <c r="H40" s="32"/>
      <c r="I40" s="32">
        <f t="shared" si="4"/>
        <v>0.5496902245</v>
      </c>
      <c r="J40" s="33">
        <f t="shared" si="2"/>
        <v>66.77742812</v>
      </c>
      <c r="K40" s="34"/>
      <c r="L40" s="32">
        <f t="shared" si="5"/>
        <v>66.77742812</v>
      </c>
      <c r="M40" s="63"/>
      <c r="N40" s="4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111</v>
      </c>
      <c r="C41" s="34"/>
      <c r="D41" s="34" t="s">
        <v>94</v>
      </c>
      <c r="E41" s="35"/>
      <c r="F41" s="35"/>
      <c r="G41" s="52">
        <v>71.33923547154976</v>
      </c>
      <c r="H41" s="32"/>
      <c r="I41" s="32">
        <f t="shared" si="4"/>
        <v>0.5921156544</v>
      </c>
      <c r="J41" s="33">
        <f t="shared" si="2"/>
        <v>71.93135113</v>
      </c>
      <c r="K41" s="34"/>
      <c r="L41" s="32">
        <f t="shared" si="5"/>
        <v>71.93135113</v>
      </c>
      <c r="M41" s="63"/>
      <c r="N41" s="4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4" t="s">
        <v>112</v>
      </c>
      <c r="C42" s="34"/>
      <c r="D42" s="34" t="s">
        <v>94</v>
      </c>
      <c r="E42" s="35"/>
      <c r="F42" s="35"/>
      <c r="G42" s="52">
        <v>24.489673822292737</v>
      </c>
      <c r="H42" s="32"/>
      <c r="I42" s="32">
        <f t="shared" si="4"/>
        <v>0.2032642927</v>
      </c>
      <c r="J42" s="33">
        <f t="shared" si="2"/>
        <v>24.69293812</v>
      </c>
      <c r="K42" s="34"/>
      <c r="L42" s="32">
        <f t="shared" si="5"/>
        <v>24.69293812</v>
      </c>
      <c r="M42" s="63"/>
      <c r="N42" s="4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41">
        <v>37.0</v>
      </c>
      <c r="B43" s="34" t="s">
        <v>116</v>
      </c>
      <c r="C43" s="34"/>
      <c r="D43" s="34" t="s">
        <v>94</v>
      </c>
      <c r="E43" s="35"/>
      <c r="F43" s="35"/>
      <c r="G43" s="52">
        <v>11.994299199128614</v>
      </c>
      <c r="H43" s="32"/>
      <c r="I43" s="32">
        <f t="shared" si="4"/>
        <v>0.09955268335</v>
      </c>
      <c r="J43" s="33">
        <f t="shared" si="2"/>
        <v>12.09385188</v>
      </c>
      <c r="K43" s="34"/>
      <c r="L43" s="32">
        <f t="shared" si="5"/>
        <v>12.09385188</v>
      </c>
      <c r="M43" s="63"/>
      <c r="N43" s="4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118</v>
      </c>
      <c r="C44" s="30"/>
      <c r="D44" s="30" t="s">
        <v>94</v>
      </c>
      <c r="E44" s="35"/>
      <c r="F44" s="31"/>
      <c r="G44" s="52">
        <v>23.988598398257228</v>
      </c>
      <c r="H44" s="32"/>
      <c r="I44" s="33">
        <f t="shared" si="4"/>
        <v>0.1991053667</v>
      </c>
      <c r="J44" s="33">
        <f t="shared" si="2"/>
        <v>24.18770376</v>
      </c>
      <c r="K44" s="30"/>
      <c r="L44" s="33">
        <f t="shared" si="5"/>
        <v>24.18770376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0" t="s">
        <v>176</v>
      </c>
      <c r="C45" s="34"/>
      <c r="D45" s="34" t="s">
        <v>94</v>
      </c>
      <c r="E45" s="35">
        <v>45999.0</v>
      </c>
      <c r="F45" s="35"/>
      <c r="G45" s="32">
        <v>241.04280193230224</v>
      </c>
      <c r="H45" s="32">
        <v>10.0</v>
      </c>
      <c r="I45" s="32">
        <f t="shared" si="4"/>
        <v>2.000655256</v>
      </c>
      <c r="J45" s="32">
        <f t="shared" si="2"/>
        <v>253.0434572</v>
      </c>
      <c r="K45" s="34"/>
      <c r="L45" s="32">
        <f t="shared" si="5"/>
        <v>253.0434572</v>
      </c>
      <c r="M45" s="65"/>
      <c r="N45" s="4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41">
        <v>40.0</v>
      </c>
      <c r="B46" s="30" t="s">
        <v>121</v>
      </c>
      <c r="C46" s="30"/>
      <c r="D46" s="30" t="s">
        <v>94</v>
      </c>
      <c r="E46" s="35"/>
      <c r="F46" s="31"/>
      <c r="G46" s="52">
        <v>11.895566001317677</v>
      </c>
      <c r="H46" s="32"/>
      <c r="I46" s="33">
        <f t="shared" si="4"/>
        <v>0.09873319781</v>
      </c>
      <c r="J46" s="33">
        <f t="shared" si="2"/>
        <v>11.9942992</v>
      </c>
      <c r="K46" s="30"/>
      <c r="L46" s="33">
        <f t="shared" si="5"/>
        <v>11.9942992</v>
      </c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41">
        <v>41.0</v>
      </c>
      <c r="B47" s="34" t="s">
        <v>161</v>
      </c>
      <c r="C47" s="34"/>
      <c r="D47" s="34" t="s">
        <v>94</v>
      </c>
      <c r="E47" s="35"/>
      <c r="F47" s="35"/>
      <c r="G47" s="64">
        <v>111.3029438235918</v>
      </c>
      <c r="H47" s="32"/>
      <c r="I47" s="32">
        <f t="shared" si="4"/>
        <v>0.9238144337</v>
      </c>
      <c r="J47" s="32">
        <f t="shared" si="2"/>
        <v>112.2267583</v>
      </c>
      <c r="K47" s="12"/>
      <c r="L47" s="32">
        <f t="shared" si="5"/>
        <v>112.2267583</v>
      </c>
      <c r="M47" s="63"/>
      <c r="N47" s="4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30.0" customHeight="1">
      <c r="A48" s="66">
        <v>42.0</v>
      </c>
      <c r="B48" s="67" t="s">
        <v>125</v>
      </c>
      <c r="C48" s="67"/>
      <c r="D48" s="68" t="s">
        <v>94</v>
      </c>
      <c r="E48" s="35"/>
      <c r="F48" s="69"/>
      <c r="G48" s="70">
        <v>-0.001818975090884578</v>
      </c>
      <c r="H48" s="71"/>
      <c r="I48" s="72">
        <v>0.0</v>
      </c>
      <c r="J48" s="73">
        <f t="shared" si="2"/>
        <v>-0.001818975091</v>
      </c>
      <c r="K48" s="67"/>
      <c r="L48" s="73">
        <f t="shared" si="5"/>
        <v>-0.001818975091</v>
      </c>
      <c r="M48" s="74"/>
      <c r="N48" s="4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</row>
    <row r="49" ht="30.0" customHeight="1">
      <c r="A49" s="41">
        <v>43.0</v>
      </c>
      <c r="B49" s="34" t="s">
        <v>126</v>
      </c>
      <c r="C49" s="34"/>
      <c r="D49" s="34" t="s">
        <v>94</v>
      </c>
      <c r="E49" s="35">
        <v>45999.0</v>
      </c>
      <c r="F49" s="35"/>
      <c r="G49" s="64">
        <v>374.8426265452649</v>
      </c>
      <c r="H49" s="57"/>
      <c r="I49" s="32">
        <f t="shared" ref="I49:I84" si="6">G49*0.83%</f>
        <v>3.1111938</v>
      </c>
      <c r="J49" s="32">
        <f t="shared" si="2"/>
        <v>377.9538203</v>
      </c>
      <c r="K49" s="12"/>
      <c r="L49" s="32">
        <f t="shared" si="5"/>
        <v>377.9538203</v>
      </c>
      <c r="M49" s="63"/>
      <c r="N49" s="4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 ht="30.0" customHeight="1">
      <c r="A50" s="41">
        <v>44.0</v>
      </c>
      <c r="B50" s="13" t="s">
        <v>127</v>
      </c>
      <c r="C50" s="13"/>
      <c r="D50" s="30" t="s">
        <v>94</v>
      </c>
      <c r="E50" s="35"/>
      <c r="F50" s="14"/>
      <c r="G50" s="53">
        <v>46.80372336845448</v>
      </c>
      <c r="H50" s="32"/>
      <c r="I50" s="33">
        <f t="shared" si="6"/>
        <v>0.388470904</v>
      </c>
      <c r="J50" s="33">
        <f t="shared" si="2"/>
        <v>47.19219427</v>
      </c>
      <c r="K50" s="13"/>
      <c r="L50" s="33">
        <f t="shared" si="5"/>
        <v>47.19219427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41">
        <v>45.0</v>
      </c>
      <c r="B51" s="13" t="s">
        <v>128</v>
      </c>
      <c r="C51" s="13"/>
      <c r="D51" s="30" t="s">
        <v>94</v>
      </c>
      <c r="E51" s="35">
        <v>46005.0</v>
      </c>
      <c r="F51" s="14"/>
      <c r="G51" s="53">
        <v>228.3814459418892</v>
      </c>
      <c r="H51" s="32">
        <v>10.0</v>
      </c>
      <c r="I51" s="33">
        <f t="shared" si="6"/>
        <v>1.895566001</v>
      </c>
      <c r="J51" s="33">
        <f t="shared" si="2"/>
        <v>240.2770119</v>
      </c>
      <c r="K51" s="13"/>
      <c r="L51" s="33">
        <f t="shared" si="5"/>
        <v>240.2770119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13" t="s">
        <v>177</v>
      </c>
      <c r="C52" s="13"/>
      <c r="D52" s="30" t="s">
        <v>94</v>
      </c>
      <c r="E52" s="35">
        <v>46001.0</v>
      </c>
      <c r="F52" s="14" t="s">
        <v>101</v>
      </c>
      <c r="G52" s="53">
        <v>1334.483213100846</v>
      </c>
      <c r="H52" s="32">
        <v>10.0</v>
      </c>
      <c r="I52" s="33">
        <f t="shared" si="6"/>
        <v>11.07621067</v>
      </c>
      <c r="J52" s="33">
        <f t="shared" si="2"/>
        <v>1355.559424</v>
      </c>
      <c r="K52" s="13"/>
      <c r="L52" s="33">
        <f t="shared" si="5"/>
        <v>1355.559424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13" t="s">
        <v>132</v>
      </c>
      <c r="C53" s="13"/>
      <c r="D53" s="30" t="s">
        <v>94</v>
      </c>
      <c r="E53" s="35"/>
      <c r="F53" s="14"/>
      <c r="G53" s="53">
        <v>17.454481708363335</v>
      </c>
      <c r="H53" s="32"/>
      <c r="I53" s="33">
        <f t="shared" si="6"/>
        <v>0.1448721982</v>
      </c>
      <c r="J53" s="33">
        <f t="shared" si="2"/>
        <v>17.59935391</v>
      </c>
      <c r="K53" s="13"/>
      <c r="L53" s="33">
        <f t="shared" si="5"/>
        <v>17.59935391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133</v>
      </c>
      <c r="C54" s="13"/>
      <c r="D54" s="30" t="s">
        <v>94</v>
      </c>
      <c r="E54" s="35">
        <v>46001.0</v>
      </c>
      <c r="F54" s="14"/>
      <c r="G54" s="59">
        <v>773.2090118061635</v>
      </c>
      <c r="H54" s="32">
        <v>20.0</v>
      </c>
      <c r="I54" s="33">
        <f t="shared" si="6"/>
        <v>6.417634798</v>
      </c>
      <c r="J54" s="33">
        <f t="shared" si="2"/>
        <v>799.6266466</v>
      </c>
      <c r="K54" s="13"/>
      <c r="L54" s="33">
        <f t="shared" si="5"/>
        <v>799.6266466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30" t="s">
        <v>134</v>
      </c>
      <c r="C55" s="13"/>
      <c r="D55" s="30" t="s">
        <v>94</v>
      </c>
      <c r="E55" s="35"/>
      <c r="F55" s="14" t="s">
        <v>131</v>
      </c>
      <c r="G55" s="53">
        <v>23.304747275807664</v>
      </c>
      <c r="H55" s="32"/>
      <c r="I55" s="33">
        <f t="shared" si="6"/>
        <v>0.1934294024</v>
      </c>
      <c r="J55" s="33">
        <f t="shared" si="2"/>
        <v>23.49817668</v>
      </c>
      <c r="K55" s="13"/>
      <c r="L55" s="33">
        <f t="shared" si="5"/>
        <v>23.49817668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30" t="s">
        <v>178</v>
      </c>
      <c r="C56" s="13"/>
      <c r="D56" s="30" t="s">
        <v>94</v>
      </c>
      <c r="E56" s="35">
        <v>46001.0</v>
      </c>
      <c r="F56" s="14" t="s">
        <v>131</v>
      </c>
      <c r="G56" s="53">
        <v>386.845465559599</v>
      </c>
      <c r="H56" s="32">
        <v>20.0</v>
      </c>
      <c r="I56" s="33">
        <f t="shared" si="6"/>
        <v>3.210817364</v>
      </c>
      <c r="J56" s="33">
        <f t="shared" si="2"/>
        <v>410.0562829</v>
      </c>
      <c r="K56" s="13"/>
      <c r="L56" s="33">
        <f t="shared" si="5"/>
        <v>410.0562829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136</v>
      </c>
      <c r="C57" s="13"/>
      <c r="D57" s="30" t="s">
        <v>94</v>
      </c>
      <c r="E57" s="35"/>
      <c r="F57" s="14" t="s">
        <v>131</v>
      </c>
      <c r="G57" s="53">
        <v>23.304747275807664</v>
      </c>
      <c r="H57" s="32"/>
      <c r="I57" s="33">
        <f t="shared" si="6"/>
        <v>0.1934294024</v>
      </c>
      <c r="J57" s="33">
        <f t="shared" si="2"/>
        <v>23.49817668</v>
      </c>
      <c r="K57" s="13"/>
      <c r="L57" s="33">
        <f t="shared" si="5"/>
        <v>23.49817668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138</v>
      </c>
      <c r="C58" s="13"/>
      <c r="D58" s="30" t="s">
        <v>94</v>
      </c>
      <c r="E58" s="35"/>
      <c r="F58" s="14"/>
      <c r="G58" s="53">
        <v>11.604216140919016</v>
      </c>
      <c r="H58" s="32"/>
      <c r="I58" s="33">
        <f t="shared" si="6"/>
        <v>0.09631499397</v>
      </c>
      <c r="J58" s="33">
        <f t="shared" si="2"/>
        <v>11.70053113</v>
      </c>
      <c r="K58" s="13"/>
      <c r="L58" s="33">
        <f t="shared" si="5"/>
        <v>11.70053113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142</v>
      </c>
      <c r="C59" s="13"/>
      <c r="D59" s="30" t="s">
        <v>94</v>
      </c>
      <c r="E59" s="35">
        <v>46006.0</v>
      </c>
      <c r="F59" s="14"/>
      <c r="G59" s="53">
        <v>142.96492221766124</v>
      </c>
      <c r="H59" s="32">
        <v>10.0</v>
      </c>
      <c r="I59" s="33">
        <f t="shared" si="6"/>
        <v>1.186608854</v>
      </c>
      <c r="J59" s="33">
        <f t="shared" si="2"/>
        <v>154.1515311</v>
      </c>
      <c r="K59" s="13"/>
      <c r="L59" s="33">
        <f t="shared" si="5"/>
        <v>154.1515311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153</v>
      </c>
      <c r="C60" s="13" t="s">
        <v>93</v>
      </c>
      <c r="D60" s="30" t="s">
        <v>94</v>
      </c>
      <c r="E60" s="35"/>
      <c r="F60" s="14"/>
      <c r="G60" s="53">
        <v>735.5078290130787</v>
      </c>
      <c r="H60" s="32"/>
      <c r="I60" s="33">
        <f t="shared" si="6"/>
        <v>6.104714981</v>
      </c>
      <c r="J60" s="33">
        <f t="shared" si="2"/>
        <v>741.612544</v>
      </c>
      <c r="K60" s="13"/>
      <c r="L60" s="33">
        <f t="shared" si="5"/>
        <v>741.612544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154</v>
      </c>
      <c r="C61" s="13"/>
      <c r="D61" s="30" t="s">
        <v>94</v>
      </c>
      <c r="E61" s="35">
        <v>46016.0</v>
      </c>
      <c r="F61" s="14"/>
      <c r="G61" s="53">
        <v>423.05545604472803</v>
      </c>
      <c r="H61" s="32">
        <v>25.0</v>
      </c>
      <c r="I61" s="33">
        <f t="shared" si="6"/>
        <v>3.511360285</v>
      </c>
      <c r="J61" s="33">
        <f t="shared" si="2"/>
        <v>451.5668163</v>
      </c>
      <c r="K61" s="13"/>
      <c r="L61" s="33">
        <f t="shared" si="5"/>
        <v>451.5668163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3" t="s">
        <v>155</v>
      </c>
      <c r="C62" s="13"/>
      <c r="D62" s="30" t="s">
        <v>94</v>
      </c>
      <c r="E62" s="35"/>
      <c r="F62" s="14"/>
      <c r="G62" s="53">
        <v>271.18693489049684</v>
      </c>
      <c r="H62" s="32"/>
      <c r="I62" s="33">
        <f t="shared" si="6"/>
        <v>2.25085156</v>
      </c>
      <c r="J62" s="33">
        <f t="shared" si="2"/>
        <v>273.4377865</v>
      </c>
      <c r="K62" s="13"/>
      <c r="L62" s="33">
        <f t="shared" si="5"/>
        <v>273.4377865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41">
        <v>57.0</v>
      </c>
      <c r="B63" s="13" t="s">
        <v>162</v>
      </c>
      <c r="C63" s="13"/>
      <c r="D63" s="30" t="s">
        <v>94</v>
      </c>
      <c r="E63" s="35">
        <v>46001.0</v>
      </c>
      <c r="F63" s="14"/>
      <c r="G63" s="53">
        <v>164.75018124172763</v>
      </c>
      <c r="H63" s="32">
        <v>50.0</v>
      </c>
      <c r="I63" s="33">
        <f t="shared" si="6"/>
        <v>1.367426504</v>
      </c>
      <c r="J63" s="33">
        <f t="shared" si="2"/>
        <v>216.1176077</v>
      </c>
      <c r="K63" s="13"/>
      <c r="L63" s="33">
        <f t="shared" si="5"/>
        <v>216.1176077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157</v>
      </c>
      <c r="C64" s="13"/>
      <c r="D64" s="30" t="s">
        <v>94</v>
      </c>
      <c r="E64" s="35"/>
      <c r="F64" s="14"/>
      <c r="G64" s="53">
        <v>26.580023562075098</v>
      </c>
      <c r="H64" s="32"/>
      <c r="I64" s="16">
        <f t="shared" si="6"/>
        <v>0.2206141956</v>
      </c>
      <c r="J64" s="33">
        <f t="shared" si="2"/>
        <v>26.80063776</v>
      </c>
      <c r="K64" s="13"/>
      <c r="L64" s="33">
        <f t="shared" si="5"/>
        <v>26.80063776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2" t="s">
        <v>179</v>
      </c>
      <c r="C65" s="12"/>
      <c r="D65" s="34" t="s">
        <v>94</v>
      </c>
      <c r="E65" s="35">
        <v>45993.0</v>
      </c>
      <c r="F65" s="22"/>
      <c r="G65" s="53">
        <v>618.9967819810049</v>
      </c>
      <c r="H65" s="32">
        <v>100.0</v>
      </c>
      <c r="I65" s="15">
        <f t="shared" si="6"/>
        <v>5.13767329</v>
      </c>
      <c r="J65" s="32">
        <f t="shared" si="2"/>
        <v>724.1344553</v>
      </c>
      <c r="K65" s="12"/>
      <c r="L65" s="32">
        <f t="shared" si="5"/>
        <v>724.1344553</v>
      </c>
      <c r="M65" s="63"/>
      <c r="N65" s="4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30.0" customHeight="1">
      <c r="A66" s="41">
        <v>60.0</v>
      </c>
      <c r="B66" s="13" t="s">
        <v>160</v>
      </c>
      <c r="C66" s="13"/>
      <c r="D66" s="30" t="s">
        <v>94</v>
      </c>
      <c r="E66" s="35">
        <v>45997.0</v>
      </c>
      <c r="F66" s="14"/>
      <c r="G66" s="53">
        <v>46.524409325186895</v>
      </c>
      <c r="H66" s="32">
        <v>10.0</v>
      </c>
      <c r="I66" s="16">
        <f t="shared" si="6"/>
        <v>0.3861525974</v>
      </c>
      <c r="J66" s="33">
        <f t="shared" si="2"/>
        <v>56.91056192</v>
      </c>
      <c r="K66" s="13"/>
      <c r="L66" s="33">
        <f t="shared" si="5"/>
        <v>56.91056192</v>
      </c>
      <c r="M66" s="4"/>
      <c r="N66" s="4" t="s">
        <v>204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30.0" customHeight="1">
      <c r="A67" s="41">
        <v>61.0</v>
      </c>
      <c r="B67" s="13" t="s">
        <v>164</v>
      </c>
      <c r="C67" s="13"/>
      <c r="D67" s="30" t="s">
        <v>94</v>
      </c>
      <c r="E67" s="35">
        <v>45996.0</v>
      </c>
      <c r="F67" s="14"/>
      <c r="G67" s="53">
        <v>164.72596263924294</v>
      </c>
      <c r="H67" s="32">
        <v>20.0</v>
      </c>
      <c r="I67" s="16">
        <f t="shared" si="6"/>
        <v>1.36722549</v>
      </c>
      <c r="J67" s="33">
        <f t="shared" si="2"/>
        <v>186.0931881</v>
      </c>
      <c r="K67" s="13"/>
      <c r="L67" s="33">
        <f t="shared" si="5"/>
        <v>186.0931881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30.0" customHeight="1">
      <c r="A68" s="41">
        <v>62.0</v>
      </c>
      <c r="B68" s="25" t="s">
        <v>180</v>
      </c>
      <c r="C68" s="13"/>
      <c r="D68" s="30" t="s">
        <v>94</v>
      </c>
      <c r="E68" s="35">
        <v>45992.0</v>
      </c>
      <c r="F68" s="14"/>
      <c r="G68" s="53">
        <v>211.41278764644676</v>
      </c>
      <c r="H68" s="32">
        <v>25.0</v>
      </c>
      <c r="I68" s="16">
        <f t="shared" si="6"/>
        <v>1.754726137</v>
      </c>
      <c r="J68" s="33">
        <f t="shared" si="2"/>
        <v>238.1675138</v>
      </c>
      <c r="K68" s="13"/>
      <c r="L68" s="33">
        <f t="shared" si="5"/>
        <v>238.1675138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30.0" customHeight="1">
      <c r="A69" s="41">
        <v>63.0</v>
      </c>
      <c r="B69" s="13" t="s">
        <v>168</v>
      </c>
      <c r="C69" s="13"/>
      <c r="D69" s="30" t="s">
        <v>94</v>
      </c>
      <c r="E69" s="35"/>
      <c r="F69" s="14"/>
      <c r="G69" s="53">
        <v>102.35175688596486</v>
      </c>
      <c r="H69" s="32"/>
      <c r="I69" s="16">
        <f t="shared" si="6"/>
        <v>0.8495195822</v>
      </c>
      <c r="J69" s="33">
        <f t="shared" si="2"/>
        <v>103.2012765</v>
      </c>
      <c r="K69" s="13"/>
      <c r="L69" s="33">
        <f t="shared" si="5"/>
        <v>103.2012765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30.0" customHeight="1">
      <c r="A70" s="41">
        <v>64.0</v>
      </c>
      <c r="B70" s="13" t="s">
        <v>169</v>
      </c>
      <c r="C70" s="13"/>
      <c r="D70" s="30" t="s">
        <v>94</v>
      </c>
      <c r="E70" s="35">
        <v>46005.0</v>
      </c>
      <c r="F70" s="14"/>
      <c r="G70" s="53">
        <v>92.27222430490318</v>
      </c>
      <c r="H70" s="32">
        <v>10.0</v>
      </c>
      <c r="I70" s="16">
        <f t="shared" si="6"/>
        <v>0.7658594617</v>
      </c>
      <c r="J70" s="33">
        <f t="shared" si="2"/>
        <v>103.0380838</v>
      </c>
      <c r="K70" s="13"/>
      <c r="L70" s="33">
        <f t="shared" si="5"/>
        <v>103.0380838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30.0" customHeight="1">
      <c r="A71" s="41">
        <v>65.0</v>
      </c>
      <c r="B71" s="13" t="s">
        <v>181</v>
      </c>
      <c r="C71" s="13"/>
      <c r="D71" s="30" t="s">
        <v>94</v>
      </c>
      <c r="E71" s="35">
        <v>46005.0</v>
      </c>
      <c r="F71" s="14"/>
      <c r="G71" s="53">
        <v>71.68081046957934</v>
      </c>
      <c r="H71" s="32">
        <v>10.0</v>
      </c>
      <c r="I71" s="16">
        <f t="shared" si="6"/>
        <v>0.5949507269</v>
      </c>
      <c r="J71" s="33">
        <f t="shared" si="2"/>
        <v>82.2757612</v>
      </c>
      <c r="K71" s="13"/>
      <c r="L71" s="33">
        <f t="shared" si="5"/>
        <v>82.2757612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30.0" customHeight="1">
      <c r="A72" s="41">
        <v>66.0</v>
      </c>
      <c r="B72" s="13" t="s">
        <v>171</v>
      </c>
      <c r="C72" s="13"/>
      <c r="D72" s="30" t="s">
        <v>94</v>
      </c>
      <c r="E72" s="35">
        <v>45992.0</v>
      </c>
      <c r="F72" s="14"/>
      <c r="G72" s="53">
        <v>119.5128831437425</v>
      </c>
      <c r="H72" s="32">
        <v>25.51</v>
      </c>
      <c r="I72" s="16">
        <f t="shared" si="6"/>
        <v>0.9919569301</v>
      </c>
      <c r="J72" s="33">
        <f t="shared" si="2"/>
        <v>146.0148401</v>
      </c>
      <c r="K72" s="13"/>
      <c r="L72" s="33">
        <f t="shared" si="5"/>
        <v>146.0148401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30.0" customHeight="1">
      <c r="A73" s="41">
        <v>67.0</v>
      </c>
      <c r="B73" s="13" t="s">
        <v>182</v>
      </c>
      <c r="C73" s="13"/>
      <c r="D73" s="30" t="s">
        <v>94</v>
      </c>
      <c r="E73" s="35">
        <v>45999.0</v>
      </c>
      <c r="F73" s="14"/>
      <c r="G73" s="53">
        <v>50.836917636808316</v>
      </c>
      <c r="H73" s="32">
        <v>10.0</v>
      </c>
      <c r="I73" s="16">
        <f t="shared" si="6"/>
        <v>0.4219464164</v>
      </c>
      <c r="J73" s="33">
        <f t="shared" si="2"/>
        <v>61.25886405</v>
      </c>
      <c r="K73" s="13"/>
      <c r="L73" s="33">
        <f t="shared" si="5"/>
        <v>61.25886405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30.0" customHeight="1">
      <c r="A74" s="41">
        <v>68.0</v>
      </c>
      <c r="B74" s="13" t="s">
        <v>183</v>
      </c>
      <c r="C74" s="13"/>
      <c r="D74" s="30" t="s">
        <v>94</v>
      </c>
      <c r="E74" s="35"/>
      <c r="F74" s="14"/>
      <c r="G74" s="53">
        <v>20.58722873680832</v>
      </c>
      <c r="H74" s="32"/>
      <c r="I74" s="16">
        <f t="shared" si="6"/>
        <v>0.1708739985</v>
      </c>
      <c r="J74" s="33">
        <f t="shared" si="2"/>
        <v>20.75810274</v>
      </c>
      <c r="K74" s="13"/>
      <c r="L74" s="33">
        <f t="shared" si="5"/>
        <v>20.75810274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30.0" customHeight="1">
      <c r="A75" s="41">
        <v>69.0</v>
      </c>
      <c r="B75" s="13" t="s">
        <v>184</v>
      </c>
      <c r="C75" s="13"/>
      <c r="D75" s="30" t="s">
        <v>94</v>
      </c>
      <c r="E75" s="35">
        <v>45993.0</v>
      </c>
      <c r="F75" s="14"/>
      <c r="G75" s="53">
        <v>80.91991763680832</v>
      </c>
      <c r="H75" s="32">
        <v>25.0</v>
      </c>
      <c r="I75" s="16">
        <f t="shared" si="6"/>
        <v>0.6716353164</v>
      </c>
      <c r="J75" s="33">
        <f t="shared" si="2"/>
        <v>106.591553</v>
      </c>
      <c r="K75" s="13"/>
      <c r="L75" s="33">
        <f t="shared" si="5"/>
        <v>106.591553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30.0" customHeight="1">
      <c r="A76" s="41">
        <v>70.0</v>
      </c>
      <c r="B76" s="13" t="s">
        <v>185</v>
      </c>
      <c r="C76" s="13"/>
      <c r="D76" s="30" t="s">
        <v>94</v>
      </c>
      <c r="E76" s="35">
        <v>45998.0</v>
      </c>
      <c r="F76" s="14"/>
      <c r="G76" s="53">
        <v>101.67383527361663</v>
      </c>
      <c r="H76" s="32">
        <v>20.0</v>
      </c>
      <c r="I76" s="16">
        <f t="shared" si="6"/>
        <v>0.8438928328</v>
      </c>
      <c r="J76" s="33">
        <f t="shared" si="2"/>
        <v>122.5177281</v>
      </c>
      <c r="K76" s="13"/>
      <c r="L76" s="33">
        <f t="shared" si="5"/>
        <v>122.5177281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30.0" customHeight="1">
      <c r="A77" s="41">
        <v>71.0</v>
      </c>
      <c r="B77" s="13" t="s">
        <v>186</v>
      </c>
      <c r="C77" s="13"/>
      <c r="D77" s="30" t="s">
        <v>94</v>
      </c>
      <c r="E77" s="35">
        <v>46001.0</v>
      </c>
      <c r="F77" s="14"/>
      <c r="G77" s="53">
        <v>796.9561859988748</v>
      </c>
      <c r="H77" s="32">
        <v>20.0</v>
      </c>
      <c r="I77" s="16">
        <f t="shared" si="6"/>
        <v>6.614736344</v>
      </c>
      <c r="J77" s="33">
        <f t="shared" si="2"/>
        <v>823.5709223</v>
      </c>
      <c r="K77" s="13"/>
      <c r="L77" s="33">
        <f t="shared" si="5"/>
        <v>823.5709223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30.0" customHeight="1">
      <c r="A78" s="41">
        <v>72.0</v>
      </c>
      <c r="B78" s="13" t="s">
        <v>187</v>
      </c>
      <c r="C78" s="13"/>
      <c r="D78" s="30" t="s">
        <v>94</v>
      </c>
      <c r="E78" s="35">
        <v>46000.0</v>
      </c>
      <c r="F78" s="14"/>
      <c r="G78" s="53">
        <v>50.836917636808316</v>
      </c>
      <c r="H78" s="32">
        <v>10.0</v>
      </c>
      <c r="I78" s="16">
        <f t="shared" si="6"/>
        <v>0.4219464164</v>
      </c>
      <c r="J78" s="33">
        <f t="shared" si="2"/>
        <v>61.25886405</v>
      </c>
      <c r="K78" s="13"/>
      <c r="L78" s="33">
        <f t="shared" si="5"/>
        <v>61.25886405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30.0" customHeight="1">
      <c r="A79" s="41">
        <v>73.0</v>
      </c>
      <c r="B79" s="13" t="s">
        <v>191</v>
      </c>
      <c r="C79" s="13"/>
      <c r="D79" s="30" t="s">
        <v>94</v>
      </c>
      <c r="E79" s="35">
        <v>46000.0</v>
      </c>
      <c r="F79" s="14"/>
      <c r="G79" s="53">
        <v>202.50380658935003</v>
      </c>
      <c r="H79" s="32">
        <v>50.0</v>
      </c>
      <c r="I79" s="16">
        <f t="shared" si="6"/>
        <v>1.680781595</v>
      </c>
      <c r="J79" s="33">
        <f t="shared" si="2"/>
        <v>254.1845882</v>
      </c>
      <c r="K79" s="13"/>
      <c r="L79" s="33">
        <f t="shared" si="5"/>
        <v>254.1845882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30.0" customHeight="1">
      <c r="A80" s="41">
        <v>74.0</v>
      </c>
      <c r="B80" s="13" t="s">
        <v>192</v>
      </c>
      <c r="C80" s="13"/>
      <c r="D80" s="30" t="s">
        <v>94</v>
      </c>
      <c r="E80" s="35">
        <v>46000.0</v>
      </c>
      <c r="F80" s="14"/>
      <c r="G80" s="53">
        <v>152.50380658935003</v>
      </c>
      <c r="H80" s="32">
        <v>50.0</v>
      </c>
      <c r="I80" s="16">
        <f t="shared" si="6"/>
        <v>1.265781595</v>
      </c>
      <c r="J80" s="33">
        <f t="shared" si="2"/>
        <v>203.7695882</v>
      </c>
      <c r="K80" s="13"/>
      <c r="L80" s="33">
        <f t="shared" si="5"/>
        <v>203.7695882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30.0" customHeight="1">
      <c r="A81" s="41">
        <v>76.0</v>
      </c>
      <c r="B81" s="13" t="s">
        <v>199</v>
      </c>
      <c r="C81" s="13"/>
      <c r="D81" s="30" t="s">
        <v>94</v>
      </c>
      <c r="E81" s="35">
        <v>46001.0</v>
      </c>
      <c r="F81" s="14"/>
      <c r="G81" s="53">
        <v>25.083</v>
      </c>
      <c r="H81" s="32">
        <v>10.0</v>
      </c>
      <c r="I81" s="16">
        <f t="shared" si="6"/>
        <v>0.2081889</v>
      </c>
      <c r="J81" s="33">
        <f t="shared" si="2"/>
        <v>35.2911889</v>
      </c>
      <c r="K81" s="13"/>
      <c r="L81" s="33">
        <f t="shared" si="5"/>
        <v>35.2911889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30.0" customHeight="1">
      <c r="A82" s="41">
        <v>77.0</v>
      </c>
      <c r="B82" s="13" t="s">
        <v>205</v>
      </c>
      <c r="C82" s="13"/>
      <c r="D82" s="30" t="s">
        <v>94</v>
      </c>
      <c r="E82" s="35">
        <v>45999.0</v>
      </c>
      <c r="F82" s="14"/>
      <c r="G82" s="53"/>
      <c r="H82" s="32">
        <v>15.0</v>
      </c>
      <c r="I82" s="16">
        <f t="shared" si="6"/>
        <v>0</v>
      </c>
      <c r="J82" s="33">
        <f t="shared" si="2"/>
        <v>15</v>
      </c>
      <c r="K82" s="13"/>
      <c r="L82" s="33">
        <f t="shared" si="5"/>
        <v>15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30.0" customHeight="1">
      <c r="A83" s="41">
        <v>78.0</v>
      </c>
      <c r="B83" s="13" t="s">
        <v>206</v>
      </c>
      <c r="C83" s="13"/>
      <c r="D83" s="30" t="s">
        <v>94</v>
      </c>
      <c r="E83" s="35">
        <v>45999.0</v>
      </c>
      <c r="F83" s="14"/>
      <c r="G83" s="53"/>
      <c r="H83" s="32">
        <v>20.0</v>
      </c>
      <c r="I83" s="16">
        <f t="shared" si="6"/>
        <v>0</v>
      </c>
      <c r="J83" s="33">
        <f t="shared" si="2"/>
        <v>20</v>
      </c>
      <c r="K83" s="13"/>
      <c r="L83" s="33">
        <f t="shared" si="5"/>
        <v>20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30.0" customHeight="1">
      <c r="A84" s="41">
        <v>79.0</v>
      </c>
      <c r="B84" s="13" t="s">
        <v>207</v>
      </c>
      <c r="C84" s="13"/>
      <c r="D84" s="30" t="s">
        <v>94</v>
      </c>
      <c r="E84" s="35">
        <v>45999.0</v>
      </c>
      <c r="F84" s="14"/>
      <c r="G84" s="53"/>
      <c r="H84" s="32">
        <v>20.0</v>
      </c>
      <c r="I84" s="16">
        <f t="shared" si="6"/>
        <v>0</v>
      </c>
      <c r="J84" s="33">
        <f t="shared" si="2"/>
        <v>20</v>
      </c>
      <c r="K84" s="13"/>
      <c r="L84" s="33">
        <f t="shared" si="5"/>
        <v>20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0" customHeight="1">
      <c r="A85" s="17"/>
      <c r="B85" s="13"/>
      <c r="C85" s="13"/>
      <c r="D85" s="13"/>
      <c r="E85" s="13"/>
      <c r="F85" s="13"/>
      <c r="G85" s="55">
        <f>SUM(G7:G81)</f>
        <v>63440.01937</v>
      </c>
      <c r="H85" s="55">
        <f t="shared" ref="H85:J85" si="7">SUM(H7:H84)</f>
        <v>1054.15</v>
      </c>
      <c r="I85" s="55">
        <f t="shared" si="7"/>
        <v>526.552191</v>
      </c>
      <c r="J85" s="55">
        <f t="shared" si="7"/>
        <v>65020.72156</v>
      </c>
      <c r="K85" s="55">
        <f>SUM(K7:K72)</f>
        <v>0</v>
      </c>
      <c r="L85" s="55">
        <f>SUM(L7:L84)</f>
        <v>65020.72156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21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85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scale="5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1.0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13" width="8.86"/>
    <col customWidth="1" hidden="1" min="14" max="14" width="19.14"/>
    <col customWidth="1" min="15" max="27" width="8.86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208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80">
        <v>1.0</v>
      </c>
      <c r="B7" s="81" t="s">
        <v>131</v>
      </c>
      <c r="C7" s="81" t="s">
        <v>91</v>
      </c>
      <c r="D7" s="81" t="s">
        <v>92</v>
      </c>
      <c r="E7" s="82"/>
      <c r="F7" s="82"/>
      <c r="G7" s="83">
        <v>5393.892423943996</v>
      </c>
      <c r="H7" s="84"/>
      <c r="I7" s="84">
        <f t="shared" ref="I7:I23" si="1">G7*0.83%</f>
        <v>44.76930712</v>
      </c>
      <c r="J7" s="84">
        <f t="shared" ref="J7:J85" si="2">G7+H7+I7</f>
        <v>5438.661731</v>
      </c>
      <c r="K7" s="81"/>
      <c r="L7" s="84">
        <f t="shared" ref="L7:L23" si="3">J7-K7</f>
        <v>5438.661731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80">
        <v>2.0</v>
      </c>
      <c r="B8" s="81" t="s">
        <v>33</v>
      </c>
      <c r="C8" s="81" t="s">
        <v>91</v>
      </c>
      <c r="D8" s="81" t="s">
        <v>209</v>
      </c>
      <c r="E8" s="82">
        <v>46034.0</v>
      </c>
      <c r="F8" s="82"/>
      <c r="G8" s="83">
        <v>9211.985507363777</v>
      </c>
      <c r="H8" s="84">
        <v>30.0</v>
      </c>
      <c r="I8" s="84">
        <f t="shared" si="1"/>
        <v>76.45947971</v>
      </c>
      <c r="J8" s="84">
        <f t="shared" si="2"/>
        <v>9318.444987</v>
      </c>
      <c r="K8" s="81"/>
      <c r="L8" s="84">
        <f t="shared" si="3"/>
        <v>9318.444987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80">
        <v>3.0</v>
      </c>
      <c r="B9" s="81" t="s">
        <v>34</v>
      </c>
      <c r="C9" s="81" t="s">
        <v>91</v>
      </c>
      <c r="D9" s="81" t="s">
        <v>92</v>
      </c>
      <c r="E9" s="82">
        <v>46045.0</v>
      </c>
      <c r="F9" s="82"/>
      <c r="G9" s="83">
        <v>9159.48848221907</v>
      </c>
      <c r="H9" s="84">
        <v>300.0</v>
      </c>
      <c r="I9" s="84">
        <f t="shared" si="1"/>
        <v>76.0237544</v>
      </c>
      <c r="J9" s="84">
        <f t="shared" si="2"/>
        <v>9535.512237</v>
      </c>
      <c r="K9" s="81"/>
      <c r="L9" s="84">
        <f t="shared" si="3"/>
        <v>9535.512237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80">
        <v>4.0</v>
      </c>
      <c r="B10" s="81" t="s">
        <v>35</v>
      </c>
      <c r="C10" s="81" t="s">
        <v>93</v>
      </c>
      <c r="D10" s="81" t="s">
        <v>92</v>
      </c>
      <c r="E10" s="82"/>
      <c r="F10" s="82"/>
      <c r="G10" s="83">
        <v>226.09480173010854</v>
      </c>
      <c r="H10" s="84"/>
      <c r="I10" s="84">
        <f t="shared" si="1"/>
        <v>1.876586854</v>
      </c>
      <c r="J10" s="84">
        <f t="shared" si="2"/>
        <v>227.9713886</v>
      </c>
      <c r="K10" s="85"/>
      <c r="L10" s="84">
        <f t="shared" si="3"/>
        <v>227.9713886</v>
      </c>
      <c r="M10" s="63"/>
      <c r="N10" s="4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80">
        <v>5.0</v>
      </c>
      <c r="B11" s="81" t="s">
        <v>189</v>
      </c>
      <c r="C11" s="81" t="s">
        <v>91</v>
      </c>
      <c r="D11" s="81" t="s">
        <v>92</v>
      </c>
      <c r="E11" s="82"/>
      <c r="F11" s="82"/>
      <c r="G11" s="83">
        <v>744.4595653924881</v>
      </c>
      <c r="H11" s="84"/>
      <c r="I11" s="84">
        <f t="shared" si="1"/>
        <v>6.179014393</v>
      </c>
      <c r="J11" s="84">
        <f t="shared" si="2"/>
        <v>750.6385798</v>
      </c>
      <c r="K11" s="81"/>
      <c r="L11" s="84">
        <f t="shared" si="3"/>
        <v>750.6385798</v>
      </c>
      <c r="M11" s="63"/>
      <c r="N11" s="4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80">
        <v>6.0</v>
      </c>
      <c r="B12" s="81" t="s">
        <v>37</v>
      </c>
      <c r="C12" s="81" t="s">
        <v>91</v>
      </c>
      <c r="D12" s="81" t="s">
        <v>92</v>
      </c>
      <c r="E12" s="82">
        <v>46034.0</v>
      </c>
      <c r="F12" s="82"/>
      <c r="G12" s="83">
        <v>1201.5168740257361</v>
      </c>
      <c r="H12" s="84">
        <v>500.0</v>
      </c>
      <c r="I12" s="84">
        <f t="shared" si="1"/>
        <v>9.972590054</v>
      </c>
      <c r="J12" s="84">
        <f t="shared" si="2"/>
        <v>1711.489464</v>
      </c>
      <c r="K12" s="81"/>
      <c r="L12" s="84">
        <f t="shared" si="3"/>
        <v>1711.489464</v>
      </c>
      <c r="M12" s="63"/>
      <c r="N12" s="4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80">
        <v>7.0</v>
      </c>
      <c r="B13" s="81" t="s">
        <v>38</v>
      </c>
      <c r="C13" s="81" t="s">
        <v>91</v>
      </c>
      <c r="D13" s="81" t="s">
        <v>92</v>
      </c>
      <c r="E13" s="82">
        <v>46037.0</v>
      </c>
      <c r="F13" s="82"/>
      <c r="G13" s="83">
        <v>9294.497962729016</v>
      </c>
      <c r="H13" s="84">
        <v>176.96</v>
      </c>
      <c r="I13" s="84">
        <f t="shared" si="1"/>
        <v>77.14433309</v>
      </c>
      <c r="J13" s="84">
        <f t="shared" si="2"/>
        <v>9548.602296</v>
      </c>
      <c r="K13" s="81"/>
      <c r="L13" s="84">
        <f t="shared" si="3"/>
        <v>9548.602296</v>
      </c>
      <c r="M13" s="63"/>
      <c r="N13" s="4" t="s">
        <v>210</v>
      </c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80">
        <v>8.0</v>
      </c>
      <c r="B14" s="81" t="s">
        <v>173</v>
      </c>
      <c r="C14" s="81" t="s">
        <v>91</v>
      </c>
      <c r="D14" s="81" t="s">
        <v>92</v>
      </c>
      <c r="E14" s="82">
        <v>46031.0</v>
      </c>
      <c r="F14" s="82"/>
      <c r="G14" s="83">
        <v>2775.283263638016</v>
      </c>
      <c r="H14" s="84">
        <v>550.0</v>
      </c>
      <c r="I14" s="84">
        <f t="shared" si="1"/>
        <v>23.03485109</v>
      </c>
      <c r="J14" s="84">
        <f t="shared" si="2"/>
        <v>3348.318115</v>
      </c>
      <c r="K14" s="85"/>
      <c r="L14" s="84">
        <f t="shared" si="3"/>
        <v>3348.318115</v>
      </c>
      <c r="M14" s="63"/>
      <c r="N14" s="4" t="s">
        <v>211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ht="24.75" customHeight="1">
      <c r="A15" s="80">
        <v>9.0</v>
      </c>
      <c r="B15" s="81" t="s">
        <v>174</v>
      </c>
      <c r="C15" s="81" t="s">
        <v>91</v>
      </c>
      <c r="D15" s="81" t="s">
        <v>94</v>
      </c>
      <c r="E15" s="82">
        <v>46024.0</v>
      </c>
      <c r="F15" s="82"/>
      <c r="G15" s="83">
        <v>4426.264901290478</v>
      </c>
      <c r="H15" s="84">
        <v>20.0</v>
      </c>
      <c r="I15" s="84">
        <f t="shared" si="1"/>
        <v>36.73799868</v>
      </c>
      <c r="J15" s="84">
        <f t="shared" si="2"/>
        <v>4483.0029</v>
      </c>
      <c r="K15" s="81"/>
      <c r="L15" s="84">
        <f t="shared" si="3"/>
        <v>4483.0029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80">
        <v>10.0</v>
      </c>
      <c r="B16" s="81" t="s">
        <v>49</v>
      </c>
      <c r="C16" s="81" t="s">
        <v>91</v>
      </c>
      <c r="D16" s="81" t="s">
        <v>94</v>
      </c>
      <c r="E16" s="82">
        <v>46032.0</v>
      </c>
      <c r="F16" s="82" t="s">
        <v>38</v>
      </c>
      <c r="G16" s="83">
        <v>310.9231571968501</v>
      </c>
      <c r="H16" s="84">
        <v>10.0</v>
      </c>
      <c r="I16" s="84">
        <f t="shared" si="1"/>
        <v>2.580662205</v>
      </c>
      <c r="J16" s="84">
        <f t="shared" si="2"/>
        <v>323.5038194</v>
      </c>
      <c r="K16" s="81"/>
      <c r="L16" s="84">
        <f t="shared" si="3"/>
        <v>323.5038194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80">
        <v>11.0</v>
      </c>
      <c r="B17" s="81" t="s">
        <v>58</v>
      </c>
      <c r="C17" s="81" t="s">
        <v>93</v>
      </c>
      <c r="D17" s="81" t="s">
        <v>94</v>
      </c>
      <c r="E17" s="82">
        <v>46031.0</v>
      </c>
      <c r="F17" s="82" t="s">
        <v>39</v>
      </c>
      <c r="G17" s="83">
        <v>572.478688586078</v>
      </c>
      <c r="H17" s="84">
        <v>20.0</v>
      </c>
      <c r="I17" s="84">
        <f t="shared" si="1"/>
        <v>4.751573115</v>
      </c>
      <c r="J17" s="84">
        <f t="shared" si="2"/>
        <v>597.2302617</v>
      </c>
      <c r="K17" s="81"/>
      <c r="L17" s="84">
        <f t="shared" si="3"/>
        <v>597.2302617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80">
        <v>12.0</v>
      </c>
      <c r="B18" s="81" t="s">
        <v>51</v>
      </c>
      <c r="C18" s="81" t="s">
        <v>91</v>
      </c>
      <c r="D18" s="81" t="s">
        <v>94</v>
      </c>
      <c r="E18" s="82"/>
      <c r="F18" s="82" t="s">
        <v>34</v>
      </c>
      <c r="G18" s="83">
        <v>124.80915625885204</v>
      </c>
      <c r="H18" s="84"/>
      <c r="I18" s="84">
        <f t="shared" si="1"/>
        <v>1.035915997</v>
      </c>
      <c r="J18" s="84">
        <f t="shared" si="2"/>
        <v>125.8450723</v>
      </c>
      <c r="K18" s="81"/>
      <c r="L18" s="84">
        <f t="shared" si="3"/>
        <v>125.8450723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80">
        <v>13.0</v>
      </c>
      <c r="B19" s="81" t="s">
        <v>52</v>
      </c>
      <c r="C19" s="81" t="s">
        <v>91</v>
      </c>
      <c r="D19" s="81" t="s">
        <v>94</v>
      </c>
      <c r="E19" s="82"/>
      <c r="F19" s="82" t="s">
        <v>38</v>
      </c>
      <c r="G19" s="83">
        <v>98.79462861203076</v>
      </c>
      <c r="H19" s="84"/>
      <c r="I19" s="84">
        <f t="shared" si="1"/>
        <v>0.8199954175</v>
      </c>
      <c r="J19" s="84">
        <f t="shared" si="2"/>
        <v>99.61462403</v>
      </c>
      <c r="K19" s="81"/>
      <c r="L19" s="84">
        <f t="shared" si="3"/>
        <v>99.61462403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80">
        <v>14.0</v>
      </c>
      <c r="B20" s="81" t="s">
        <v>72</v>
      </c>
      <c r="C20" s="81" t="s">
        <v>91</v>
      </c>
      <c r="D20" s="81" t="s">
        <v>94</v>
      </c>
      <c r="E20" s="82"/>
      <c r="F20" s="82" t="s">
        <v>38</v>
      </c>
      <c r="G20" s="83">
        <v>374.9698094658285</v>
      </c>
      <c r="H20" s="84"/>
      <c r="I20" s="84">
        <f t="shared" si="1"/>
        <v>3.112249419</v>
      </c>
      <c r="J20" s="84">
        <f t="shared" si="2"/>
        <v>378.0820589</v>
      </c>
      <c r="K20" s="81"/>
      <c r="L20" s="84">
        <f t="shared" si="3"/>
        <v>378.0820589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80">
        <v>15.0</v>
      </c>
      <c r="B21" s="81" t="s">
        <v>54</v>
      </c>
      <c r="C21" s="81" t="s">
        <v>91</v>
      </c>
      <c r="D21" s="81" t="s">
        <v>94</v>
      </c>
      <c r="E21" s="82"/>
      <c r="F21" s="82" t="s">
        <v>34</v>
      </c>
      <c r="G21" s="83">
        <v>3115.542840231028</v>
      </c>
      <c r="H21" s="84"/>
      <c r="I21" s="84">
        <f t="shared" si="1"/>
        <v>25.85900557</v>
      </c>
      <c r="J21" s="84">
        <f t="shared" si="2"/>
        <v>3141.401846</v>
      </c>
      <c r="K21" s="81"/>
      <c r="L21" s="84">
        <f t="shared" si="3"/>
        <v>3141.401846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80">
        <v>16.0</v>
      </c>
      <c r="B22" s="81" t="s">
        <v>55</v>
      </c>
      <c r="C22" s="81" t="s">
        <v>91</v>
      </c>
      <c r="D22" s="81" t="s">
        <v>94</v>
      </c>
      <c r="E22" s="82">
        <v>46036.0</v>
      </c>
      <c r="F22" s="82" t="s">
        <v>33</v>
      </c>
      <c r="G22" s="83">
        <v>875.1620032392534</v>
      </c>
      <c r="H22" s="84">
        <v>100.0</v>
      </c>
      <c r="I22" s="84">
        <f t="shared" si="1"/>
        <v>7.263844627</v>
      </c>
      <c r="J22" s="84">
        <f t="shared" si="2"/>
        <v>982.4258479</v>
      </c>
      <c r="K22" s="81"/>
      <c r="L22" s="84">
        <f t="shared" si="3"/>
        <v>982.4258479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80">
        <v>17.0</v>
      </c>
      <c r="B23" s="81" t="s">
        <v>40</v>
      </c>
      <c r="C23" s="81" t="s">
        <v>91</v>
      </c>
      <c r="D23" s="81" t="s">
        <v>94</v>
      </c>
      <c r="E23" s="82">
        <v>46032.0</v>
      </c>
      <c r="F23" s="82" t="s">
        <v>38</v>
      </c>
      <c r="G23" s="83">
        <v>93.04659406457432</v>
      </c>
      <c r="H23" s="84">
        <v>10.0</v>
      </c>
      <c r="I23" s="84">
        <f t="shared" si="1"/>
        <v>0.7722867307</v>
      </c>
      <c r="J23" s="84">
        <f t="shared" si="2"/>
        <v>103.8188808</v>
      </c>
      <c r="K23" s="81"/>
      <c r="L23" s="84">
        <f t="shared" si="3"/>
        <v>103.8188808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80">
        <v>18.0</v>
      </c>
      <c r="B24" s="81" t="s">
        <v>41</v>
      </c>
      <c r="C24" s="81" t="s">
        <v>91</v>
      </c>
      <c r="D24" s="81" t="s">
        <v>94</v>
      </c>
      <c r="E24" s="82"/>
      <c r="F24" s="82" t="s">
        <v>34</v>
      </c>
      <c r="G24" s="83">
        <v>-0.001818975090884578</v>
      </c>
      <c r="H24" s="84"/>
      <c r="I24" s="84">
        <v>0.0</v>
      </c>
      <c r="J24" s="83">
        <f t="shared" si="2"/>
        <v>-0.001818975091</v>
      </c>
      <c r="K24" s="81"/>
      <c r="L24" s="84">
        <f>I24+J24</f>
        <v>-0.001818975091</v>
      </c>
      <c r="M24" s="75"/>
      <c r="N24" s="4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</row>
    <row r="25" ht="24.75" customHeight="1">
      <c r="A25" s="80">
        <v>19.0</v>
      </c>
      <c r="B25" s="81" t="s">
        <v>95</v>
      </c>
      <c r="C25" s="81" t="s">
        <v>93</v>
      </c>
      <c r="D25" s="81" t="s">
        <v>94</v>
      </c>
      <c r="E25" s="82">
        <v>46024.0</v>
      </c>
      <c r="F25" s="82" t="s">
        <v>39</v>
      </c>
      <c r="G25" s="83">
        <v>949.0665578628341</v>
      </c>
      <c r="H25" s="84">
        <v>140.0</v>
      </c>
      <c r="I25" s="84">
        <f t="shared" ref="I25:I47" si="4">G25*0.83%</f>
        <v>7.87725243</v>
      </c>
      <c r="J25" s="84">
        <f t="shared" si="2"/>
        <v>1096.94381</v>
      </c>
      <c r="K25" s="81"/>
      <c r="L25" s="84">
        <f t="shared" ref="L25:L85" si="5">J25-K25</f>
        <v>1096.94381</v>
      </c>
      <c r="M25" s="4"/>
      <c r="N25" s="4" t="s">
        <v>212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80">
        <v>20.0</v>
      </c>
      <c r="B26" s="81" t="s">
        <v>97</v>
      </c>
      <c r="C26" s="81" t="s">
        <v>93</v>
      </c>
      <c r="D26" s="81" t="s">
        <v>94</v>
      </c>
      <c r="E26" s="82"/>
      <c r="F26" s="82" t="s">
        <v>34</v>
      </c>
      <c r="G26" s="83">
        <v>92.55115790891966</v>
      </c>
      <c r="H26" s="84"/>
      <c r="I26" s="84">
        <f t="shared" si="4"/>
        <v>0.7681746106</v>
      </c>
      <c r="J26" s="84">
        <f t="shared" si="2"/>
        <v>93.31933252</v>
      </c>
      <c r="K26" s="81"/>
      <c r="L26" s="84">
        <f t="shared" si="5"/>
        <v>93.31933252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80">
        <v>21.0</v>
      </c>
      <c r="B27" s="81" t="s">
        <v>98</v>
      </c>
      <c r="C27" s="81" t="s">
        <v>93</v>
      </c>
      <c r="D27" s="81" t="s">
        <v>94</v>
      </c>
      <c r="E27" s="82"/>
      <c r="F27" s="82" t="s">
        <v>38</v>
      </c>
      <c r="G27" s="83">
        <v>135.8522498640436</v>
      </c>
      <c r="H27" s="84"/>
      <c r="I27" s="84">
        <f t="shared" si="4"/>
        <v>1.127573674</v>
      </c>
      <c r="J27" s="84">
        <f t="shared" si="2"/>
        <v>136.9798235</v>
      </c>
      <c r="K27" s="81"/>
      <c r="L27" s="84">
        <f t="shared" si="5"/>
        <v>136.9798235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80">
        <v>22.0</v>
      </c>
      <c r="B28" s="81" t="s">
        <v>61</v>
      </c>
      <c r="C28" s="81" t="s">
        <v>91</v>
      </c>
      <c r="D28" s="81" t="s">
        <v>94</v>
      </c>
      <c r="E28" s="82"/>
      <c r="F28" s="82" t="s">
        <v>38</v>
      </c>
      <c r="G28" s="83">
        <v>159.94269938308986</v>
      </c>
      <c r="H28" s="84"/>
      <c r="I28" s="84">
        <f t="shared" si="4"/>
        <v>1.327524405</v>
      </c>
      <c r="J28" s="84">
        <f t="shared" si="2"/>
        <v>161.2702238</v>
      </c>
      <c r="K28" s="81"/>
      <c r="L28" s="84">
        <f t="shared" si="5"/>
        <v>161.2702238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80">
        <v>23.0</v>
      </c>
      <c r="B29" s="81" t="s">
        <v>63</v>
      </c>
      <c r="C29" s="81" t="s">
        <v>91</v>
      </c>
      <c r="D29" s="81" t="s">
        <v>94</v>
      </c>
      <c r="E29" s="82"/>
      <c r="F29" s="82" t="s">
        <v>39</v>
      </c>
      <c r="G29" s="83">
        <v>1319.4013140304928</v>
      </c>
      <c r="H29" s="84"/>
      <c r="I29" s="84">
        <f t="shared" si="4"/>
        <v>10.95103091</v>
      </c>
      <c r="J29" s="84">
        <f t="shared" si="2"/>
        <v>1330.352345</v>
      </c>
      <c r="K29" s="81"/>
      <c r="L29" s="84">
        <f t="shared" si="5"/>
        <v>1330.352345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80">
        <v>24.0</v>
      </c>
      <c r="B30" s="81" t="s">
        <v>64</v>
      </c>
      <c r="C30" s="81" t="s">
        <v>91</v>
      </c>
      <c r="D30" s="81" t="s">
        <v>94</v>
      </c>
      <c r="E30" s="82"/>
      <c r="F30" s="82" t="s">
        <v>40</v>
      </c>
      <c r="G30" s="83">
        <v>754.0477618022019</v>
      </c>
      <c r="H30" s="86"/>
      <c r="I30" s="84">
        <f t="shared" si="4"/>
        <v>6.258596423</v>
      </c>
      <c r="J30" s="84">
        <f t="shared" si="2"/>
        <v>760.3063582</v>
      </c>
      <c r="K30" s="81"/>
      <c r="L30" s="84">
        <f t="shared" si="5"/>
        <v>760.3063582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80">
        <v>25.0</v>
      </c>
      <c r="B31" s="81" t="s">
        <v>65</v>
      </c>
      <c r="C31" s="81" t="s">
        <v>91</v>
      </c>
      <c r="D31" s="81" t="s">
        <v>94</v>
      </c>
      <c r="E31" s="82"/>
      <c r="F31" s="82" t="s">
        <v>39</v>
      </c>
      <c r="G31" s="83">
        <v>49.534417566075966</v>
      </c>
      <c r="H31" s="86"/>
      <c r="I31" s="84">
        <f t="shared" si="4"/>
        <v>0.4111356658</v>
      </c>
      <c r="J31" s="84">
        <f t="shared" si="2"/>
        <v>49.94555323</v>
      </c>
      <c r="K31" s="81"/>
      <c r="L31" s="84">
        <f t="shared" si="5"/>
        <v>49.94555323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80">
        <v>26.0</v>
      </c>
      <c r="B32" s="81" t="s">
        <v>66</v>
      </c>
      <c r="C32" s="81" t="s">
        <v>91</v>
      </c>
      <c r="D32" s="81" t="s">
        <v>94</v>
      </c>
      <c r="E32" s="82"/>
      <c r="F32" s="82" t="s">
        <v>33</v>
      </c>
      <c r="G32" s="83">
        <v>75.95429446966808</v>
      </c>
      <c r="H32" s="86"/>
      <c r="I32" s="84">
        <f t="shared" si="4"/>
        <v>0.6304206441</v>
      </c>
      <c r="J32" s="84">
        <f t="shared" si="2"/>
        <v>76.58471511</v>
      </c>
      <c r="K32" s="81"/>
      <c r="L32" s="84">
        <f t="shared" si="5"/>
        <v>76.58471511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80">
        <v>27.0</v>
      </c>
      <c r="B33" s="81" t="s">
        <v>99</v>
      </c>
      <c r="C33" s="81" t="s">
        <v>91</v>
      </c>
      <c r="D33" s="81" t="s">
        <v>94</v>
      </c>
      <c r="E33" s="82"/>
      <c r="F33" s="82" t="s">
        <v>38</v>
      </c>
      <c r="G33" s="83">
        <v>256.28081524166305</v>
      </c>
      <c r="H33" s="84"/>
      <c r="I33" s="84">
        <f t="shared" si="4"/>
        <v>2.127130767</v>
      </c>
      <c r="J33" s="84">
        <f t="shared" si="2"/>
        <v>258.407946</v>
      </c>
      <c r="K33" s="81"/>
      <c r="L33" s="84">
        <f t="shared" si="5"/>
        <v>258.407946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4.75" customHeight="1">
      <c r="A34" s="80">
        <v>28.0</v>
      </c>
      <c r="B34" s="81" t="s">
        <v>100</v>
      </c>
      <c r="C34" s="81" t="s">
        <v>93</v>
      </c>
      <c r="D34" s="81" t="s">
        <v>94</v>
      </c>
      <c r="E34" s="82" t="s">
        <v>213</v>
      </c>
      <c r="F34" s="82" t="s">
        <v>39</v>
      </c>
      <c r="G34" s="83">
        <v>78.03902789658304</v>
      </c>
      <c r="H34" s="84"/>
      <c r="I34" s="84">
        <f t="shared" si="4"/>
        <v>0.6477239315</v>
      </c>
      <c r="J34" s="84">
        <f t="shared" si="2"/>
        <v>78.68675183</v>
      </c>
      <c r="K34" s="81">
        <v>78.69</v>
      </c>
      <c r="L34" s="84">
        <f t="shared" si="5"/>
        <v>-0.003248171875</v>
      </c>
      <c r="M34" s="75"/>
      <c r="N34" s="4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</row>
    <row r="35" ht="24.75" customHeight="1">
      <c r="A35" s="80">
        <v>29.0</v>
      </c>
      <c r="B35" s="81" t="s">
        <v>101</v>
      </c>
      <c r="C35" s="81" t="s">
        <v>93</v>
      </c>
      <c r="D35" s="81" t="s">
        <v>94</v>
      </c>
      <c r="E35" s="82"/>
      <c r="F35" s="82"/>
      <c r="G35" s="83">
        <v>2156.797337695541</v>
      </c>
      <c r="H35" s="84"/>
      <c r="I35" s="84">
        <f t="shared" si="4"/>
        <v>17.9014179</v>
      </c>
      <c r="J35" s="84">
        <f t="shared" si="2"/>
        <v>2174.698756</v>
      </c>
      <c r="K35" s="81"/>
      <c r="L35" s="84">
        <f t="shared" si="5"/>
        <v>2174.698756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80">
        <v>30.0</v>
      </c>
      <c r="B36" s="81" t="s">
        <v>102</v>
      </c>
      <c r="C36" s="81"/>
      <c r="D36" s="81" t="s">
        <v>94</v>
      </c>
      <c r="E36" s="82"/>
      <c r="F36" s="82"/>
      <c r="G36" s="83">
        <v>18.495034088917073</v>
      </c>
      <c r="H36" s="84"/>
      <c r="I36" s="84">
        <f t="shared" si="4"/>
        <v>0.1535087829</v>
      </c>
      <c r="J36" s="84">
        <f t="shared" si="2"/>
        <v>18.64854287</v>
      </c>
      <c r="K36" s="81"/>
      <c r="L36" s="84">
        <f t="shared" si="5"/>
        <v>18.64854287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0.0" customHeight="1">
      <c r="A37" s="80">
        <v>31.0</v>
      </c>
      <c r="B37" s="81" t="s">
        <v>104</v>
      </c>
      <c r="C37" s="81" t="s">
        <v>93</v>
      </c>
      <c r="D37" s="81" t="s">
        <v>94</v>
      </c>
      <c r="E37" s="82"/>
      <c r="F37" s="82"/>
      <c r="G37" s="83">
        <v>479.4450379256611</v>
      </c>
      <c r="H37" s="84"/>
      <c r="I37" s="84">
        <f t="shared" si="4"/>
        <v>3.979393815</v>
      </c>
      <c r="J37" s="84">
        <f t="shared" si="2"/>
        <v>483.4244317</v>
      </c>
      <c r="K37" s="81"/>
      <c r="L37" s="84">
        <f t="shared" si="5"/>
        <v>483.4244317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0.0" customHeight="1">
      <c r="A38" s="80">
        <v>32.0</v>
      </c>
      <c r="B38" s="81" t="s">
        <v>190</v>
      </c>
      <c r="C38" s="81"/>
      <c r="D38" s="81" t="s">
        <v>94</v>
      </c>
      <c r="E38" s="82">
        <v>46029.0</v>
      </c>
      <c r="F38" s="82"/>
      <c r="G38" s="83">
        <v>425.6473155575981</v>
      </c>
      <c r="H38" s="84">
        <v>25.0</v>
      </c>
      <c r="I38" s="84">
        <f t="shared" si="4"/>
        <v>3.532872719</v>
      </c>
      <c r="J38" s="84">
        <f t="shared" si="2"/>
        <v>454.1801883</v>
      </c>
      <c r="K38" s="81"/>
      <c r="L38" s="84">
        <f t="shared" si="5"/>
        <v>454.1801883</v>
      </c>
      <c r="M38" s="63"/>
      <c r="N38" s="4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80">
        <v>33.0</v>
      </c>
      <c r="B39" s="81" t="s">
        <v>175</v>
      </c>
      <c r="C39" s="81"/>
      <c r="D39" s="81" t="s">
        <v>94</v>
      </c>
      <c r="E39" s="82">
        <v>46024.0</v>
      </c>
      <c r="F39" s="82"/>
      <c r="G39" s="83">
        <v>938.8261119716393</v>
      </c>
      <c r="H39" s="84">
        <v>150.0</v>
      </c>
      <c r="I39" s="84">
        <f t="shared" si="4"/>
        <v>7.792256729</v>
      </c>
      <c r="J39" s="84">
        <f t="shared" si="2"/>
        <v>1096.618369</v>
      </c>
      <c r="K39" s="81"/>
      <c r="L39" s="84">
        <f t="shared" si="5"/>
        <v>1096.618369</v>
      </c>
      <c r="M39" s="63"/>
      <c r="N39" s="4" t="s">
        <v>214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80">
        <v>34.0</v>
      </c>
      <c r="B40" s="81" t="s">
        <v>108</v>
      </c>
      <c r="C40" s="81"/>
      <c r="D40" s="81" t="s">
        <v>94</v>
      </c>
      <c r="E40" s="82"/>
      <c r="F40" s="82"/>
      <c r="G40" s="83">
        <v>66.77742812019325</v>
      </c>
      <c r="H40" s="84"/>
      <c r="I40" s="84">
        <f t="shared" si="4"/>
        <v>0.5542526534</v>
      </c>
      <c r="J40" s="84">
        <f t="shared" si="2"/>
        <v>67.33168077</v>
      </c>
      <c r="K40" s="81"/>
      <c r="L40" s="84">
        <f t="shared" si="5"/>
        <v>67.33168077</v>
      </c>
      <c r="M40" s="63"/>
      <c r="N40" s="4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80">
        <v>35.0</v>
      </c>
      <c r="B41" s="81" t="s">
        <v>111</v>
      </c>
      <c r="C41" s="81"/>
      <c r="D41" s="81" t="s">
        <v>94</v>
      </c>
      <c r="E41" s="82"/>
      <c r="F41" s="82"/>
      <c r="G41" s="83">
        <v>71.93135112596362</v>
      </c>
      <c r="H41" s="84"/>
      <c r="I41" s="84">
        <f t="shared" si="4"/>
        <v>0.5970302143</v>
      </c>
      <c r="J41" s="84">
        <f t="shared" si="2"/>
        <v>72.52838134</v>
      </c>
      <c r="K41" s="81"/>
      <c r="L41" s="84">
        <f t="shared" si="5"/>
        <v>72.52838134</v>
      </c>
      <c r="M41" s="63"/>
      <c r="N41" s="4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80">
        <v>36.0</v>
      </c>
      <c r="B42" s="81" t="s">
        <v>112</v>
      </c>
      <c r="C42" s="81"/>
      <c r="D42" s="81" t="s">
        <v>94</v>
      </c>
      <c r="E42" s="82"/>
      <c r="F42" s="82"/>
      <c r="G42" s="83">
        <v>24.692938115017768</v>
      </c>
      <c r="H42" s="84"/>
      <c r="I42" s="84">
        <f t="shared" si="4"/>
        <v>0.2049513864</v>
      </c>
      <c r="J42" s="84">
        <f t="shared" si="2"/>
        <v>24.8978895</v>
      </c>
      <c r="K42" s="81"/>
      <c r="L42" s="84">
        <f t="shared" si="5"/>
        <v>24.8978895</v>
      </c>
      <c r="M42" s="63"/>
      <c r="N42" s="4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ht="30.0" customHeight="1">
      <c r="A43" s="80">
        <v>37.0</v>
      </c>
      <c r="B43" s="81" t="s">
        <v>116</v>
      </c>
      <c r="C43" s="81"/>
      <c r="D43" s="81" t="s">
        <v>94</v>
      </c>
      <c r="E43" s="82"/>
      <c r="F43" s="82"/>
      <c r="G43" s="83">
        <v>12.093851882481381</v>
      </c>
      <c r="H43" s="84"/>
      <c r="I43" s="84">
        <f t="shared" si="4"/>
        <v>0.1003789706</v>
      </c>
      <c r="J43" s="84">
        <f t="shared" si="2"/>
        <v>12.19423085</v>
      </c>
      <c r="K43" s="81"/>
      <c r="L43" s="84">
        <f t="shared" si="5"/>
        <v>12.19423085</v>
      </c>
      <c r="M43" s="63"/>
      <c r="N43" s="4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80">
        <v>38.0</v>
      </c>
      <c r="B44" s="81" t="s">
        <v>118</v>
      </c>
      <c r="C44" s="81"/>
      <c r="D44" s="81" t="s">
        <v>94</v>
      </c>
      <c r="E44" s="82"/>
      <c r="F44" s="82"/>
      <c r="G44" s="83">
        <v>24.187703764962762</v>
      </c>
      <c r="H44" s="84"/>
      <c r="I44" s="84">
        <f t="shared" si="4"/>
        <v>0.2007579412</v>
      </c>
      <c r="J44" s="84">
        <f t="shared" si="2"/>
        <v>24.38846171</v>
      </c>
      <c r="K44" s="81"/>
      <c r="L44" s="84">
        <f t="shared" si="5"/>
        <v>24.38846171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80">
        <v>39.0</v>
      </c>
      <c r="B45" s="81" t="s">
        <v>176</v>
      </c>
      <c r="C45" s="81"/>
      <c r="D45" s="81" t="s">
        <v>94</v>
      </c>
      <c r="E45" s="82">
        <v>46045.0</v>
      </c>
      <c r="F45" s="82"/>
      <c r="G45" s="84">
        <v>253.04345718834034</v>
      </c>
      <c r="H45" s="84">
        <v>10.0</v>
      </c>
      <c r="I45" s="84">
        <f t="shared" si="4"/>
        <v>2.100260695</v>
      </c>
      <c r="J45" s="84">
        <f t="shared" si="2"/>
        <v>265.1437179</v>
      </c>
      <c r="K45" s="81"/>
      <c r="L45" s="84">
        <f t="shared" si="5"/>
        <v>265.1437179</v>
      </c>
      <c r="M45" s="65"/>
      <c r="N45" s="4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80">
        <v>40.0</v>
      </c>
      <c r="B46" s="81" t="s">
        <v>121</v>
      </c>
      <c r="C46" s="81"/>
      <c r="D46" s="81" t="s">
        <v>94</v>
      </c>
      <c r="E46" s="82"/>
      <c r="F46" s="82"/>
      <c r="G46" s="83">
        <v>11.994299199128614</v>
      </c>
      <c r="H46" s="84"/>
      <c r="I46" s="84">
        <f t="shared" si="4"/>
        <v>0.09955268335</v>
      </c>
      <c r="J46" s="84">
        <f t="shared" si="2"/>
        <v>12.09385188</v>
      </c>
      <c r="K46" s="81"/>
      <c r="L46" s="84">
        <f t="shared" si="5"/>
        <v>12.09385188</v>
      </c>
      <c r="M46" s="1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80">
        <v>41.0</v>
      </c>
      <c r="B47" s="81" t="s">
        <v>161</v>
      </c>
      <c r="C47" s="81"/>
      <c r="D47" s="81" t="s">
        <v>94</v>
      </c>
      <c r="E47" s="82"/>
      <c r="F47" s="82"/>
      <c r="G47" s="87">
        <v>112.22675825732762</v>
      </c>
      <c r="H47" s="84"/>
      <c r="I47" s="84">
        <f t="shared" si="4"/>
        <v>0.9314820935</v>
      </c>
      <c r="J47" s="84">
        <f t="shared" si="2"/>
        <v>113.1582404</v>
      </c>
      <c r="K47" s="88"/>
      <c r="L47" s="84">
        <f t="shared" si="5"/>
        <v>113.1582404</v>
      </c>
      <c r="M47" s="63"/>
      <c r="N47" s="4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ht="30.0" customHeight="1">
      <c r="A48" s="80">
        <v>42.0</v>
      </c>
      <c r="B48" s="88" t="s">
        <v>125</v>
      </c>
      <c r="C48" s="88"/>
      <c r="D48" s="81" t="s">
        <v>94</v>
      </c>
      <c r="E48" s="82"/>
      <c r="F48" s="89"/>
      <c r="G48" s="87">
        <v>-0.001818975090884578</v>
      </c>
      <c r="H48" s="84"/>
      <c r="I48" s="84">
        <v>0.0</v>
      </c>
      <c r="J48" s="83">
        <f t="shared" si="2"/>
        <v>-0.001818975091</v>
      </c>
      <c r="K48" s="88"/>
      <c r="L48" s="83">
        <f t="shared" si="5"/>
        <v>-0.001818975091</v>
      </c>
      <c r="M48" s="74"/>
      <c r="N48" s="4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</row>
    <row r="49" ht="30.0" customHeight="1">
      <c r="A49" s="80">
        <v>43.0</v>
      </c>
      <c r="B49" s="90" t="s">
        <v>126</v>
      </c>
      <c r="C49" s="88"/>
      <c r="D49" s="81" t="s">
        <v>94</v>
      </c>
      <c r="E49" s="82">
        <v>46235.0</v>
      </c>
      <c r="F49" s="89"/>
      <c r="G49" s="91">
        <v>377.9538203455906</v>
      </c>
      <c r="H49" s="84">
        <v>10.0</v>
      </c>
      <c r="I49" s="84">
        <f t="shared" ref="I49:I85" si="6">G49*0.83%</f>
        <v>3.137016709</v>
      </c>
      <c r="J49" s="84">
        <f t="shared" si="2"/>
        <v>391.0908371</v>
      </c>
      <c r="K49" s="88"/>
      <c r="L49" s="84">
        <f t="shared" si="5"/>
        <v>391.0908371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80">
        <v>44.0</v>
      </c>
      <c r="B50" s="88" t="s">
        <v>127</v>
      </c>
      <c r="C50" s="88"/>
      <c r="D50" s="81" t="s">
        <v>94</v>
      </c>
      <c r="E50" s="82"/>
      <c r="F50" s="89"/>
      <c r="G50" s="87">
        <v>47.19219427241265</v>
      </c>
      <c r="H50" s="84"/>
      <c r="I50" s="84">
        <f t="shared" si="6"/>
        <v>0.3916952125</v>
      </c>
      <c r="J50" s="84">
        <f t="shared" si="2"/>
        <v>47.58388948</v>
      </c>
      <c r="K50" s="88"/>
      <c r="L50" s="84">
        <f t="shared" si="5"/>
        <v>47.58388948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.0" customHeight="1">
      <c r="A51" s="80">
        <v>45.0</v>
      </c>
      <c r="B51" s="88" t="s">
        <v>128</v>
      </c>
      <c r="C51" s="88"/>
      <c r="D51" s="81" t="s">
        <v>94</v>
      </c>
      <c r="E51" s="82">
        <v>46028.0</v>
      </c>
      <c r="F51" s="89"/>
      <c r="G51" s="87">
        <v>240.2770119432069</v>
      </c>
      <c r="H51" s="84">
        <v>10.0</v>
      </c>
      <c r="I51" s="84">
        <f t="shared" si="6"/>
        <v>1.994299199</v>
      </c>
      <c r="J51" s="84">
        <f t="shared" si="2"/>
        <v>252.2713111</v>
      </c>
      <c r="K51" s="88"/>
      <c r="L51" s="84">
        <f t="shared" si="5"/>
        <v>252.2713111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80">
        <v>46.0</v>
      </c>
      <c r="B52" s="88" t="s">
        <v>177</v>
      </c>
      <c r="C52" s="88"/>
      <c r="D52" s="81" t="s">
        <v>94</v>
      </c>
      <c r="E52" s="82">
        <v>46031.0</v>
      </c>
      <c r="F52" s="89" t="s">
        <v>101</v>
      </c>
      <c r="G52" s="87">
        <v>1355.559423769583</v>
      </c>
      <c r="H52" s="84">
        <v>10.0</v>
      </c>
      <c r="I52" s="84">
        <f t="shared" si="6"/>
        <v>11.25114322</v>
      </c>
      <c r="J52" s="84">
        <f t="shared" si="2"/>
        <v>1376.810567</v>
      </c>
      <c r="K52" s="88"/>
      <c r="L52" s="84">
        <f t="shared" si="5"/>
        <v>1376.810567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80">
        <v>47.0</v>
      </c>
      <c r="B53" s="88" t="s">
        <v>132</v>
      </c>
      <c r="C53" s="88"/>
      <c r="D53" s="81" t="s">
        <v>94</v>
      </c>
      <c r="E53" s="82"/>
      <c r="F53" s="89"/>
      <c r="G53" s="87">
        <v>17.599353906542753</v>
      </c>
      <c r="H53" s="84"/>
      <c r="I53" s="84">
        <f t="shared" si="6"/>
        <v>0.1460746374</v>
      </c>
      <c r="J53" s="84">
        <f t="shared" si="2"/>
        <v>17.74542854</v>
      </c>
      <c r="K53" s="88"/>
      <c r="L53" s="84">
        <f t="shared" si="5"/>
        <v>17.74542854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80">
        <v>48.0</v>
      </c>
      <c r="B54" s="88" t="s">
        <v>133</v>
      </c>
      <c r="C54" s="88"/>
      <c r="D54" s="81" t="s">
        <v>94</v>
      </c>
      <c r="E54" s="82">
        <v>46032.0</v>
      </c>
      <c r="F54" s="89"/>
      <c r="G54" s="91">
        <v>799.6266466041546</v>
      </c>
      <c r="H54" s="84">
        <v>20.0</v>
      </c>
      <c r="I54" s="84">
        <f t="shared" si="6"/>
        <v>6.636901167</v>
      </c>
      <c r="J54" s="84">
        <f t="shared" si="2"/>
        <v>826.2635478</v>
      </c>
      <c r="K54" s="88"/>
      <c r="L54" s="84">
        <f t="shared" si="5"/>
        <v>826.2635478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80">
        <v>49.0</v>
      </c>
      <c r="B55" s="81" t="s">
        <v>134</v>
      </c>
      <c r="C55" s="88"/>
      <c r="D55" s="81" t="s">
        <v>94</v>
      </c>
      <c r="E55" s="82"/>
      <c r="F55" s="89" t="s">
        <v>131</v>
      </c>
      <c r="G55" s="87">
        <v>23.498176678196867</v>
      </c>
      <c r="H55" s="84"/>
      <c r="I55" s="84">
        <f t="shared" si="6"/>
        <v>0.1950348664</v>
      </c>
      <c r="J55" s="84">
        <f t="shared" si="2"/>
        <v>23.69321154</v>
      </c>
      <c r="K55" s="88"/>
      <c r="L55" s="84">
        <f t="shared" si="5"/>
        <v>23.69321154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80">
        <v>50.0</v>
      </c>
      <c r="B56" s="81" t="s">
        <v>178</v>
      </c>
      <c r="C56" s="88"/>
      <c r="D56" s="81" t="s">
        <v>94</v>
      </c>
      <c r="E56" s="82">
        <v>46032.0</v>
      </c>
      <c r="F56" s="89" t="s">
        <v>131</v>
      </c>
      <c r="G56" s="87">
        <v>410.05628292374365</v>
      </c>
      <c r="H56" s="84">
        <v>40.0</v>
      </c>
      <c r="I56" s="84">
        <f t="shared" si="6"/>
        <v>3.403467148</v>
      </c>
      <c r="J56" s="84">
        <f t="shared" si="2"/>
        <v>453.4597501</v>
      </c>
      <c r="K56" s="88"/>
      <c r="L56" s="84">
        <f t="shared" si="5"/>
        <v>453.4597501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80">
        <v>51.0</v>
      </c>
      <c r="B57" s="88" t="s">
        <v>136</v>
      </c>
      <c r="C57" s="88"/>
      <c r="D57" s="81" t="s">
        <v>94</v>
      </c>
      <c r="E57" s="82"/>
      <c r="F57" s="89" t="s">
        <v>131</v>
      </c>
      <c r="G57" s="87">
        <v>23.498176678196867</v>
      </c>
      <c r="H57" s="84"/>
      <c r="I57" s="84">
        <f t="shared" si="6"/>
        <v>0.1950348664</v>
      </c>
      <c r="J57" s="84">
        <f t="shared" si="2"/>
        <v>23.69321154</v>
      </c>
      <c r="K57" s="88"/>
      <c r="L57" s="84">
        <f t="shared" si="5"/>
        <v>23.69321154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80">
        <v>52.0</v>
      </c>
      <c r="B58" s="88" t="s">
        <v>138</v>
      </c>
      <c r="C58" s="88"/>
      <c r="D58" s="81" t="s">
        <v>94</v>
      </c>
      <c r="E58" s="82"/>
      <c r="F58" s="89"/>
      <c r="G58" s="87">
        <v>11.700531134888644</v>
      </c>
      <c r="H58" s="84"/>
      <c r="I58" s="84">
        <f t="shared" si="6"/>
        <v>0.09711440842</v>
      </c>
      <c r="J58" s="84">
        <f t="shared" si="2"/>
        <v>11.79764554</v>
      </c>
      <c r="K58" s="88"/>
      <c r="L58" s="84">
        <f t="shared" si="5"/>
        <v>11.79764554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80">
        <v>53.0</v>
      </c>
      <c r="B59" s="88" t="s">
        <v>142</v>
      </c>
      <c r="C59" s="88"/>
      <c r="D59" s="81" t="s">
        <v>94</v>
      </c>
      <c r="E59" s="82">
        <v>46045.0</v>
      </c>
      <c r="F59" s="89"/>
      <c r="G59" s="87">
        <v>154.15153107206783</v>
      </c>
      <c r="H59" s="84">
        <v>20.55</v>
      </c>
      <c r="I59" s="84">
        <f t="shared" si="6"/>
        <v>1.279457708</v>
      </c>
      <c r="J59" s="84">
        <f t="shared" si="2"/>
        <v>175.9809888</v>
      </c>
      <c r="K59" s="88"/>
      <c r="L59" s="84">
        <f t="shared" si="5"/>
        <v>175.9809888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80">
        <v>54.0</v>
      </c>
      <c r="B60" s="88" t="s">
        <v>153</v>
      </c>
      <c r="C60" s="88" t="s">
        <v>93</v>
      </c>
      <c r="D60" s="81" t="s">
        <v>94</v>
      </c>
      <c r="E60" s="82"/>
      <c r="F60" s="89"/>
      <c r="G60" s="87">
        <v>741.6125439938872</v>
      </c>
      <c r="H60" s="84"/>
      <c r="I60" s="84">
        <f t="shared" si="6"/>
        <v>6.155384115</v>
      </c>
      <c r="J60" s="84">
        <f t="shared" si="2"/>
        <v>747.7679281</v>
      </c>
      <c r="K60" s="88"/>
      <c r="L60" s="84">
        <f t="shared" si="5"/>
        <v>747.7679281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80">
        <v>55.0</v>
      </c>
      <c r="B61" s="88" t="s">
        <v>154</v>
      </c>
      <c r="C61" s="88"/>
      <c r="D61" s="81" t="s">
        <v>94</v>
      </c>
      <c r="E61" s="82"/>
      <c r="F61" s="89"/>
      <c r="G61" s="87">
        <v>451.56681632989927</v>
      </c>
      <c r="H61" s="84"/>
      <c r="I61" s="84">
        <f t="shared" si="6"/>
        <v>3.748004576</v>
      </c>
      <c r="J61" s="84">
        <f t="shared" si="2"/>
        <v>455.3148209</v>
      </c>
      <c r="K61" s="88"/>
      <c r="L61" s="84">
        <f t="shared" si="5"/>
        <v>455.3148209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80">
        <v>56.0</v>
      </c>
      <c r="B62" s="88" t="s">
        <v>155</v>
      </c>
      <c r="C62" s="88"/>
      <c r="D62" s="81" t="s">
        <v>94</v>
      </c>
      <c r="E62" s="82"/>
      <c r="F62" s="89"/>
      <c r="G62" s="87">
        <v>273.43778645008797</v>
      </c>
      <c r="H62" s="84"/>
      <c r="I62" s="84">
        <f t="shared" si="6"/>
        <v>2.269533628</v>
      </c>
      <c r="J62" s="84">
        <f t="shared" si="2"/>
        <v>275.7073201</v>
      </c>
      <c r="K62" s="88"/>
      <c r="L62" s="84">
        <f t="shared" si="5"/>
        <v>275.7073201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30.0" customHeight="1">
      <c r="A63" s="80">
        <v>57.0</v>
      </c>
      <c r="B63" s="88" t="s">
        <v>162</v>
      </c>
      <c r="C63" s="88"/>
      <c r="D63" s="81" t="s">
        <v>94</v>
      </c>
      <c r="E63" s="82">
        <v>46034.0</v>
      </c>
      <c r="F63" s="89"/>
      <c r="G63" s="87">
        <v>216.11760774603397</v>
      </c>
      <c r="H63" s="84">
        <v>30.0</v>
      </c>
      <c r="I63" s="84">
        <f t="shared" si="6"/>
        <v>1.793776144</v>
      </c>
      <c r="J63" s="84">
        <f t="shared" si="2"/>
        <v>247.9113839</v>
      </c>
      <c r="K63" s="88"/>
      <c r="L63" s="84">
        <f t="shared" si="5"/>
        <v>247.9113839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80">
        <v>58.0</v>
      </c>
      <c r="B64" s="88" t="s">
        <v>157</v>
      </c>
      <c r="C64" s="88"/>
      <c r="D64" s="81" t="s">
        <v>94</v>
      </c>
      <c r="E64" s="82"/>
      <c r="F64" s="89"/>
      <c r="G64" s="87">
        <v>26.80063775764032</v>
      </c>
      <c r="H64" s="84"/>
      <c r="I64" s="92">
        <f t="shared" si="6"/>
        <v>0.2224452934</v>
      </c>
      <c r="J64" s="84">
        <f t="shared" si="2"/>
        <v>27.02308305</v>
      </c>
      <c r="K64" s="88"/>
      <c r="L64" s="84">
        <f t="shared" si="5"/>
        <v>27.02308305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80">
        <v>59.0</v>
      </c>
      <c r="B65" s="88" t="s">
        <v>179</v>
      </c>
      <c r="C65" s="88"/>
      <c r="D65" s="81" t="s">
        <v>94</v>
      </c>
      <c r="E65" s="82">
        <v>46028.0</v>
      </c>
      <c r="F65" s="89"/>
      <c r="G65" s="87">
        <v>724.1344552714472</v>
      </c>
      <c r="H65" s="84">
        <v>150.0</v>
      </c>
      <c r="I65" s="92">
        <f t="shared" si="6"/>
        <v>6.010315979</v>
      </c>
      <c r="J65" s="84">
        <f t="shared" si="2"/>
        <v>880.1447713</v>
      </c>
      <c r="K65" s="88"/>
      <c r="L65" s="84">
        <f t="shared" si="5"/>
        <v>880.1447713</v>
      </c>
      <c r="M65" s="63"/>
      <c r="N65" s="4" t="s">
        <v>214</v>
      </c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t="30.0" customHeight="1">
      <c r="A66" s="80">
        <v>60.0</v>
      </c>
      <c r="B66" s="88" t="s">
        <v>160</v>
      </c>
      <c r="C66" s="88"/>
      <c r="D66" s="81" t="s">
        <v>94</v>
      </c>
      <c r="E66" s="82"/>
      <c r="F66" s="89"/>
      <c r="G66" s="87">
        <v>56.91056192258595</v>
      </c>
      <c r="H66" s="84"/>
      <c r="I66" s="92">
        <f t="shared" si="6"/>
        <v>0.472357664</v>
      </c>
      <c r="J66" s="84">
        <f t="shared" si="2"/>
        <v>57.38291959</v>
      </c>
      <c r="K66" s="88"/>
      <c r="L66" s="84">
        <f t="shared" si="5"/>
        <v>57.38291959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30.0" customHeight="1">
      <c r="A67" s="80">
        <v>61.0</v>
      </c>
      <c r="B67" s="88" t="s">
        <v>164</v>
      </c>
      <c r="C67" s="88"/>
      <c r="D67" s="81" t="s">
        <v>94</v>
      </c>
      <c r="E67" s="82">
        <v>46034.0</v>
      </c>
      <c r="F67" s="89"/>
      <c r="G67" s="87">
        <v>186.09318812914864</v>
      </c>
      <c r="H67" s="84">
        <v>250.0</v>
      </c>
      <c r="I67" s="92">
        <f t="shared" si="6"/>
        <v>1.544573461</v>
      </c>
      <c r="J67" s="84">
        <f t="shared" si="2"/>
        <v>437.6377616</v>
      </c>
      <c r="K67" s="88"/>
      <c r="L67" s="84">
        <f t="shared" si="5"/>
        <v>437.6377616</v>
      </c>
      <c r="M67" s="4"/>
      <c r="N67" s="4" t="s">
        <v>214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30.0" customHeight="1">
      <c r="A68" s="80">
        <v>62.0</v>
      </c>
      <c r="B68" s="88" t="s">
        <v>180</v>
      </c>
      <c r="C68" s="88"/>
      <c r="D68" s="81" t="s">
        <v>94</v>
      </c>
      <c r="E68" s="82">
        <v>46027.0</v>
      </c>
      <c r="F68" s="89"/>
      <c r="G68" s="87">
        <v>238.16751378391226</v>
      </c>
      <c r="H68" s="84">
        <v>25.0</v>
      </c>
      <c r="I68" s="92">
        <f t="shared" si="6"/>
        <v>1.976790364</v>
      </c>
      <c r="J68" s="84">
        <f t="shared" si="2"/>
        <v>265.1443041</v>
      </c>
      <c r="K68" s="88"/>
      <c r="L68" s="84">
        <f t="shared" si="5"/>
        <v>265.1443041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30.0" customHeight="1">
      <c r="A69" s="80">
        <v>63.0</v>
      </c>
      <c r="B69" s="88" t="s">
        <v>168</v>
      </c>
      <c r="C69" s="88"/>
      <c r="D69" s="81" t="s">
        <v>94</v>
      </c>
      <c r="E69" s="82"/>
      <c r="F69" s="89"/>
      <c r="G69" s="87">
        <v>103.20127646811837</v>
      </c>
      <c r="H69" s="84"/>
      <c r="I69" s="92">
        <f t="shared" si="6"/>
        <v>0.8565705947</v>
      </c>
      <c r="J69" s="84">
        <f t="shared" si="2"/>
        <v>104.0578471</v>
      </c>
      <c r="K69" s="88"/>
      <c r="L69" s="84">
        <f t="shared" si="5"/>
        <v>104.0578471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30.0" customHeight="1">
      <c r="A70" s="80">
        <v>64.0</v>
      </c>
      <c r="B70" s="88" t="s">
        <v>169</v>
      </c>
      <c r="C70" s="88"/>
      <c r="D70" s="81" t="s">
        <v>94</v>
      </c>
      <c r="E70" s="82">
        <v>46033.0</v>
      </c>
      <c r="F70" s="89"/>
      <c r="G70" s="87">
        <v>103.03808376663387</v>
      </c>
      <c r="H70" s="84">
        <v>10.0</v>
      </c>
      <c r="I70" s="92">
        <f t="shared" si="6"/>
        <v>0.8552160953</v>
      </c>
      <c r="J70" s="84">
        <f t="shared" si="2"/>
        <v>113.8932999</v>
      </c>
      <c r="K70" s="88"/>
      <c r="L70" s="84">
        <f t="shared" si="5"/>
        <v>113.8932999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30.0" customHeight="1">
      <c r="A71" s="80">
        <v>65.0</v>
      </c>
      <c r="B71" s="88" t="s">
        <v>181</v>
      </c>
      <c r="C71" s="88"/>
      <c r="D71" s="81" t="s">
        <v>94</v>
      </c>
      <c r="E71" s="82">
        <v>46035.0</v>
      </c>
      <c r="F71" s="89"/>
      <c r="G71" s="87">
        <v>82.27576119647685</v>
      </c>
      <c r="H71" s="84">
        <v>10.0</v>
      </c>
      <c r="I71" s="92">
        <f t="shared" si="6"/>
        <v>0.6828888179</v>
      </c>
      <c r="J71" s="84">
        <f t="shared" si="2"/>
        <v>92.95865001</v>
      </c>
      <c r="K71" s="88"/>
      <c r="L71" s="84">
        <f t="shared" si="5"/>
        <v>92.95865001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30.0" customHeight="1">
      <c r="A72" s="80">
        <v>66.0</v>
      </c>
      <c r="B72" s="88" t="s">
        <v>171</v>
      </c>
      <c r="C72" s="88"/>
      <c r="D72" s="81" t="s">
        <v>94</v>
      </c>
      <c r="E72" s="82">
        <v>46023.0</v>
      </c>
      <c r="F72" s="89"/>
      <c r="G72" s="87">
        <v>146.01484007383556</v>
      </c>
      <c r="H72" s="84">
        <v>32.82</v>
      </c>
      <c r="I72" s="92">
        <f t="shared" si="6"/>
        <v>1.211923173</v>
      </c>
      <c r="J72" s="84">
        <f t="shared" si="2"/>
        <v>180.0467632</v>
      </c>
      <c r="K72" s="88"/>
      <c r="L72" s="84">
        <f t="shared" si="5"/>
        <v>180.0467632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30.0" customHeight="1">
      <c r="A73" s="80">
        <v>67.0</v>
      </c>
      <c r="B73" s="88" t="s">
        <v>182</v>
      </c>
      <c r="C73" s="88"/>
      <c r="D73" s="81" t="s">
        <v>94</v>
      </c>
      <c r="E73" s="82">
        <v>46030.0</v>
      </c>
      <c r="F73" s="89"/>
      <c r="G73" s="87">
        <v>61.258864053193825</v>
      </c>
      <c r="H73" s="84">
        <v>10.0</v>
      </c>
      <c r="I73" s="92">
        <f t="shared" si="6"/>
        <v>0.5084485716</v>
      </c>
      <c r="J73" s="84">
        <f t="shared" si="2"/>
        <v>71.76731262</v>
      </c>
      <c r="K73" s="88"/>
      <c r="L73" s="84">
        <f t="shared" si="5"/>
        <v>71.76731262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30.0" customHeight="1">
      <c r="A74" s="80">
        <v>68.0</v>
      </c>
      <c r="B74" s="88" t="s">
        <v>183</v>
      </c>
      <c r="C74" s="88"/>
      <c r="D74" s="81" t="s">
        <v>94</v>
      </c>
      <c r="E74" s="82"/>
      <c r="F74" s="89"/>
      <c r="G74" s="93">
        <v>20.59</v>
      </c>
      <c r="H74" s="84"/>
      <c r="I74" s="92">
        <f t="shared" si="6"/>
        <v>0.170897</v>
      </c>
      <c r="J74" s="84">
        <f t="shared" si="2"/>
        <v>20.760897</v>
      </c>
      <c r="K74" s="88"/>
      <c r="L74" s="84">
        <f t="shared" si="5"/>
        <v>20.760897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30.0" customHeight="1">
      <c r="A75" s="80">
        <v>69.0</v>
      </c>
      <c r="B75" s="88" t="s">
        <v>184</v>
      </c>
      <c r="C75" s="88"/>
      <c r="D75" s="81" t="s">
        <v>94</v>
      </c>
      <c r="E75" s="82">
        <v>46024.0</v>
      </c>
      <c r="F75" s="89"/>
      <c r="G75" s="87">
        <v>106.59155295319383</v>
      </c>
      <c r="H75" s="84">
        <v>30.0</v>
      </c>
      <c r="I75" s="92">
        <f t="shared" si="6"/>
        <v>0.8847098895</v>
      </c>
      <c r="J75" s="84">
        <f t="shared" si="2"/>
        <v>137.4762628</v>
      </c>
      <c r="K75" s="88"/>
      <c r="L75" s="84">
        <f t="shared" si="5"/>
        <v>137.4762628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30.0" customHeight="1">
      <c r="A76" s="80">
        <v>70.0</v>
      </c>
      <c r="B76" s="94" t="s">
        <v>185</v>
      </c>
      <c r="C76" s="88"/>
      <c r="D76" s="81" t="s">
        <v>94</v>
      </c>
      <c r="E76" s="82">
        <v>46027.0</v>
      </c>
      <c r="F76" s="89"/>
      <c r="G76" s="87">
        <v>122.51772810638765</v>
      </c>
      <c r="H76" s="84">
        <v>20.0</v>
      </c>
      <c r="I76" s="92">
        <f t="shared" si="6"/>
        <v>1.016897143</v>
      </c>
      <c r="J76" s="84">
        <f t="shared" si="2"/>
        <v>143.5346252</v>
      </c>
      <c r="K76" s="88"/>
      <c r="L76" s="84">
        <f t="shared" si="5"/>
        <v>143.5346252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30.0" customHeight="1">
      <c r="A77" s="80">
        <v>71.0</v>
      </c>
      <c r="B77" s="88" t="s">
        <v>215</v>
      </c>
      <c r="C77" s="88"/>
      <c r="D77" s="81" t="s">
        <v>94</v>
      </c>
      <c r="E77" s="82">
        <v>46024.0</v>
      </c>
      <c r="F77" s="89" t="s">
        <v>175</v>
      </c>
      <c r="G77" s="87">
        <v>823.5709223426655</v>
      </c>
      <c r="H77" s="84">
        <v>40.0</v>
      </c>
      <c r="I77" s="92">
        <f t="shared" si="6"/>
        <v>6.835638655</v>
      </c>
      <c r="J77" s="84">
        <f t="shared" si="2"/>
        <v>870.406561</v>
      </c>
      <c r="K77" s="88"/>
      <c r="L77" s="84">
        <f t="shared" si="5"/>
        <v>870.406561</v>
      </c>
      <c r="M77" s="4"/>
      <c r="N77" s="4" t="s">
        <v>216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30.0" customHeight="1">
      <c r="A78" s="80">
        <v>72.0</v>
      </c>
      <c r="B78" s="88" t="s">
        <v>187</v>
      </c>
      <c r="C78" s="88"/>
      <c r="D78" s="81" t="s">
        <v>94</v>
      </c>
      <c r="E78" s="82">
        <v>46032.0</v>
      </c>
      <c r="F78" s="89"/>
      <c r="G78" s="87">
        <v>61.258864053193825</v>
      </c>
      <c r="H78" s="84">
        <v>10.0</v>
      </c>
      <c r="I78" s="92">
        <f t="shared" si="6"/>
        <v>0.5084485716</v>
      </c>
      <c r="J78" s="84">
        <f t="shared" si="2"/>
        <v>71.76731262</v>
      </c>
      <c r="K78" s="88"/>
      <c r="L78" s="84">
        <f t="shared" si="5"/>
        <v>71.76731262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30.0" customHeight="1">
      <c r="A79" s="80">
        <v>73.0</v>
      </c>
      <c r="B79" s="88" t="s">
        <v>191</v>
      </c>
      <c r="C79" s="88"/>
      <c r="D79" s="81" t="s">
        <v>94</v>
      </c>
      <c r="E79" s="82">
        <v>46025.0</v>
      </c>
      <c r="F79" s="89"/>
      <c r="G79" s="87">
        <v>254.18458818404164</v>
      </c>
      <c r="H79" s="84">
        <v>100.0</v>
      </c>
      <c r="I79" s="92">
        <f t="shared" si="6"/>
        <v>2.109732082</v>
      </c>
      <c r="J79" s="84">
        <f t="shared" si="2"/>
        <v>356.2943203</v>
      </c>
      <c r="K79" s="88"/>
      <c r="L79" s="84">
        <f t="shared" si="5"/>
        <v>356.2943203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30.0" customHeight="1">
      <c r="A80" s="80">
        <v>74.0</v>
      </c>
      <c r="B80" s="88" t="s">
        <v>192</v>
      </c>
      <c r="C80" s="88"/>
      <c r="D80" s="81" t="s">
        <v>94</v>
      </c>
      <c r="E80" s="82">
        <v>46025.0</v>
      </c>
      <c r="F80" s="89"/>
      <c r="G80" s="87">
        <v>203.76958818404165</v>
      </c>
      <c r="H80" s="84">
        <v>100.0</v>
      </c>
      <c r="I80" s="92">
        <f t="shared" si="6"/>
        <v>1.691287582</v>
      </c>
      <c r="J80" s="84">
        <f t="shared" si="2"/>
        <v>305.4608758</v>
      </c>
      <c r="K80" s="88"/>
      <c r="L80" s="84">
        <f t="shared" si="5"/>
        <v>305.4608758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30.0" customHeight="1">
      <c r="A81" s="80">
        <v>76.0</v>
      </c>
      <c r="B81" s="88" t="s">
        <v>199</v>
      </c>
      <c r="C81" s="88"/>
      <c r="D81" s="81" t="s">
        <v>94</v>
      </c>
      <c r="E81" s="82">
        <v>46032.0</v>
      </c>
      <c r="F81" s="89"/>
      <c r="G81" s="87">
        <v>35.2911889</v>
      </c>
      <c r="H81" s="84">
        <v>10.0</v>
      </c>
      <c r="I81" s="92">
        <f t="shared" si="6"/>
        <v>0.2929168679</v>
      </c>
      <c r="J81" s="84">
        <f t="shared" si="2"/>
        <v>45.58410577</v>
      </c>
      <c r="K81" s="88"/>
      <c r="L81" s="84">
        <f t="shared" si="5"/>
        <v>45.58410577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30.0" customHeight="1">
      <c r="A82" s="80">
        <v>77.0</v>
      </c>
      <c r="B82" s="88" t="s">
        <v>205</v>
      </c>
      <c r="C82" s="88"/>
      <c r="D82" s="81" t="s">
        <v>94</v>
      </c>
      <c r="E82" s="82">
        <v>46027.0</v>
      </c>
      <c r="F82" s="89"/>
      <c r="G82" s="87">
        <v>15.0</v>
      </c>
      <c r="H82" s="84">
        <v>15.0</v>
      </c>
      <c r="I82" s="92">
        <f t="shared" si="6"/>
        <v>0.1245</v>
      </c>
      <c r="J82" s="84">
        <f t="shared" si="2"/>
        <v>30.1245</v>
      </c>
      <c r="K82" s="88"/>
      <c r="L82" s="84">
        <f t="shared" si="5"/>
        <v>30.1245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30.0" customHeight="1">
      <c r="A83" s="80">
        <v>78.0</v>
      </c>
      <c r="B83" s="88" t="s">
        <v>206</v>
      </c>
      <c r="C83" s="88"/>
      <c r="D83" s="81" t="s">
        <v>94</v>
      </c>
      <c r="E83" s="82">
        <v>46025.0</v>
      </c>
      <c r="F83" s="89"/>
      <c r="G83" s="87">
        <v>20.0</v>
      </c>
      <c r="H83" s="84">
        <v>20.0</v>
      </c>
      <c r="I83" s="92">
        <f t="shared" si="6"/>
        <v>0.166</v>
      </c>
      <c r="J83" s="84">
        <f t="shared" si="2"/>
        <v>40.166</v>
      </c>
      <c r="K83" s="88"/>
      <c r="L83" s="84">
        <f t="shared" si="5"/>
        <v>40.166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30.0" customHeight="1">
      <c r="A84" s="80">
        <v>79.0</v>
      </c>
      <c r="B84" s="94" t="s">
        <v>207</v>
      </c>
      <c r="C84" s="88"/>
      <c r="D84" s="81" t="s">
        <v>94</v>
      </c>
      <c r="E84" s="82">
        <v>46024.0</v>
      </c>
      <c r="F84" s="89"/>
      <c r="G84" s="87">
        <v>20.0</v>
      </c>
      <c r="H84" s="84">
        <v>20.0</v>
      </c>
      <c r="I84" s="92">
        <f t="shared" si="6"/>
        <v>0.166</v>
      </c>
      <c r="J84" s="84">
        <f t="shared" si="2"/>
        <v>40.166</v>
      </c>
      <c r="K84" s="88"/>
      <c r="L84" s="84">
        <f t="shared" si="5"/>
        <v>40.166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30.0" customHeight="1">
      <c r="A85" s="80">
        <v>80.0</v>
      </c>
      <c r="B85" s="88" t="s">
        <v>217</v>
      </c>
      <c r="C85" s="88"/>
      <c r="D85" s="81" t="s">
        <v>94</v>
      </c>
      <c r="E85" s="82">
        <v>46040.0</v>
      </c>
      <c r="F85" s="89"/>
      <c r="G85" s="87"/>
      <c r="H85" s="84">
        <v>75.0</v>
      </c>
      <c r="I85" s="92">
        <f t="shared" si="6"/>
        <v>0</v>
      </c>
      <c r="J85" s="84">
        <f t="shared" si="2"/>
        <v>75</v>
      </c>
      <c r="K85" s="88"/>
      <c r="L85" s="84">
        <f t="shared" si="5"/>
        <v>75</v>
      </c>
      <c r="M85" s="4"/>
      <c r="N85" s="4" t="s">
        <v>216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0" customHeight="1">
      <c r="A86" s="17"/>
      <c r="B86" s="13"/>
      <c r="C86" s="13"/>
      <c r="D86" s="13"/>
      <c r="E86" s="13"/>
      <c r="F86" s="13"/>
      <c r="G86" s="55">
        <f t="shared" ref="G86:L86" si="7">SUM(G7:G85)</f>
        <v>65020.55346</v>
      </c>
      <c r="H86" s="55">
        <f t="shared" si="7"/>
        <v>3110.33</v>
      </c>
      <c r="I86" s="55">
        <f t="shared" si="7"/>
        <v>539.6706239</v>
      </c>
      <c r="J86" s="55">
        <f t="shared" si="7"/>
        <v>68670.55409</v>
      </c>
      <c r="K86" s="55">
        <f t="shared" si="7"/>
        <v>78.69</v>
      </c>
      <c r="L86" s="55">
        <f t="shared" si="7"/>
        <v>68591.86409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21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L$86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1.0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  <col customWidth="1" min="13" max="27" width="8.86"/>
  </cols>
  <sheetData>
    <row r="1">
      <c r="A1" s="95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9" t="s">
        <v>218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4.75" customHeight="1">
      <c r="A7" s="41">
        <v>1.0</v>
      </c>
      <c r="B7" s="30" t="s">
        <v>131</v>
      </c>
      <c r="C7" s="30" t="s">
        <v>91</v>
      </c>
      <c r="D7" s="30" t="s">
        <v>92</v>
      </c>
      <c r="E7" s="35">
        <v>46064.0</v>
      </c>
      <c r="F7" s="31"/>
      <c r="G7" s="52">
        <v>5438.661731062731</v>
      </c>
      <c r="H7" s="53">
        <v>50.0</v>
      </c>
      <c r="I7" s="33">
        <f t="shared" ref="I7:I84" si="1">G7*0.83%</f>
        <v>45.14089237</v>
      </c>
      <c r="J7" s="33">
        <f t="shared" ref="J7:J84" si="2">G7+H7+I7</f>
        <v>5533.802623</v>
      </c>
      <c r="K7" s="30"/>
      <c r="L7" s="33">
        <f t="shared" ref="L7:L84" si="3">J7-K7</f>
        <v>5533.802623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4.75" customHeight="1">
      <c r="A8" s="41">
        <v>2.0</v>
      </c>
      <c r="B8" s="30" t="s">
        <v>33</v>
      </c>
      <c r="C8" s="30" t="s">
        <v>91</v>
      </c>
      <c r="D8" s="34" t="s">
        <v>209</v>
      </c>
      <c r="E8" s="35">
        <v>46062.0</v>
      </c>
      <c r="F8" s="31"/>
      <c r="G8" s="52">
        <v>9318.444987074896</v>
      </c>
      <c r="H8" s="53">
        <v>30.0</v>
      </c>
      <c r="I8" s="33">
        <f t="shared" si="1"/>
        <v>77.34309339</v>
      </c>
      <c r="J8" s="33">
        <f t="shared" si="2"/>
        <v>9425.78808</v>
      </c>
      <c r="K8" s="30"/>
      <c r="L8" s="33">
        <f t="shared" si="3"/>
        <v>9425.78808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4.75" customHeight="1">
      <c r="A9" s="41">
        <v>3.0</v>
      </c>
      <c r="B9" s="30" t="s">
        <v>34</v>
      </c>
      <c r="C9" s="30" t="s">
        <v>91</v>
      </c>
      <c r="D9" s="30" t="s">
        <v>92</v>
      </c>
      <c r="E9" s="35"/>
      <c r="F9" s="31"/>
      <c r="G9" s="52">
        <v>9535.51223662149</v>
      </c>
      <c r="H9" s="53"/>
      <c r="I9" s="33">
        <f t="shared" si="1"/>
        <v>79.14475156</v>
      </c>
      <c r="J9" s="33">
        <f t="shared" si="2"/>
        <v>9614.656988</v>
      </c>
      <c r="K9" s="30"/>
      <c r="L9" s="33">
        <f t="shared" si="3"/>
        <v>9614.656988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4.75" customHeight="1">
      <c r="A10" s="41">
        <v>4.0</v>
      </c>
      <c r="B10" s="34" t="s">
        <v>35</v>
      </c>
      <c r="C10" s="34" t="s">
        <v>93</v>
      </c>
      <c r="D10" s="34" t="s">
        <v>92</v>
      </c>
      <c r="E10" s="35"/>
      <c r="F10" s="31" t="s">
        <v>101</v>
      </c>
      <c r="G10" s="52">
        <v>227.97138858446846</v>
      </c>
      <c r="H10" s="53"/>
      <c r="I10" s="32">
        <f t="shared" si="1"/>
        <v>1.892162525</v>
      </c>
      <c r="J10" s="33">
        <f t="shared" si="2"/>
        <v>229.8635511</v>
      </c>
      <c r="K10" s="51"/>
      <c r="L10" s="32">
        <f t="shared" si="3"/>
        <v>229.8635511</v>
      </c>
      <c r="M10" s="63"/>
      <c r="N10" s="4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t="24.75" customHeight="1">
      <c r="A11" s="41">
        <v>5.0</v>
      </c>
      <c r="B11" s="34" t="s">
        <v>189</v>
      </c>
      <c r="C11" s="34" t="s">
        <v>91</v>
      </c>
      <c r="D11" s="34" t="s">
        <v>92</v>
      </c>
      <c r="E11" s="35">
        <v>46055.0</v>
      </c>
      <c r="F11" s="35"/>
      <c r="G11" s="52">
        <v>750.6385797852457</v>
      </c>
      <c r="H11" s="53">
        <v>10.0</v>
      </c>
      <c r="I11" s="32">
        <f t="shared" si="1"/>
        <v>6.230300212</v>
      </c>
      <c r="J11" s="33">
        <f t="shared" si="2"/>
        <v>766.86888</v>
      </c>
      <c r="K11" s="34"/>
      <c r="L11" s="32">
        <f t="shared" si="3"/>
        <v>766.86888</v>
      </c>
      <c r="M11" s="63"/>
      <c r="N11" s="4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t="24.75" customHeight="1">
      <c r="A12" s="41">
        <v>6.0</v>
      </c>
      <c r="B12" s="34" t="s">
        <v>37</v>
      </c>
      <c r="C12" s="34" t="s">
        <v>91</v>
      </c>
      <c r="D12" s="34" t="s">
        <v>92</v>
      </c>
      <c r="E12" s="35"/>
      <c r="F12" s="35"/>
      <c r="G12" s="52">
        <v>1711.4894640801497</v>
      </c>
      <c r="H12" s="53"/>
      <c r="I12" s="32">
        <f t="shared" si="1"/>
        <v>14.20536255</v>
      </c>
      <c r="J12" s="33">
        <f t="shared" si="2"/>
        <v>1725.694827</v>
      </c>
      <c r="K12" s="34"/>
      <c r="L12" s="32">
        <f t="shared" si="3"/>
        <v>1725.694827</v>
      </c>
      <c r="M12" s="63"/>
      <c r="N12" s="4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ht="24.75" customHeight="1">
      <c r="A13" s="41">
        <v>7.0</v>
      </c>
      <c r="B13" s="34" t="s">
        <v>38</v>
      </c>
      <c r="C13" s="34" t="s">
        <v>91</v>
      </c>
      <c r="D13" s="34" t="s">
        <v>92</v>
      </c>
      <c r="E13" s="35">
        <v>46065.0</v>
      </c>
      <c r="F13" s="35"/>
      <c r="G13" s="52">
        <v>9548.602295819666</v>
      </c>
      <c r="H13" s="53">
        <v>80.28</v>
      </c>
      <c r="I13" s="32">
        <f t="shared" si="1"/>
        <v>79.25339906</v>
      </c>
      <c r="J13" s="33">
        <f t="shared" si="2"/>
        <v>9708.135695</v>
      </c>
      <c r="K13" s="34"/>
      <c r="L13" s="32">
        <f t="shared" si="3"/>
        <v>9708.135695</v>
      </c>
      <c r="M13" s="63"/>
      <c r="N13" s="4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ht="24.75" customHeight="1">
      <c r="A14" s="11">
        <v>8.0</v>
      </c>
      <c r="B14" s="30" t="s">
        <v>173</v>
      </c>
      <c r="C14" s="30" t="s">
        <v>91</v>
      </c>
      <c r="D14" s="30" t="s">
        <v>92</v>
      </c>
      <c r="E14" s="31">
        <v>46055.0</v>
      </c>
      <c r="F14" s="31"/>
      <c r="G14" s="79">
        <v>3348.318114726211</v>
      </c>
      <c r="H14" s="53">
        <v>400.0</v>
      </c>
      <c r="I14" s="33">
        <f t="shared" si="1"/>
        <v>27.79104035</v>
      </c>
      <c r="J14" s="33">
        <f t="shared" si="2"/>
        <v>3776.109155</v>
      </c>
      <c r="K14" s="96"/>
      <c r="L14" s="33">
        <f t="shared" si="3"/>
        <v>3776.109155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4.75" customHeight="1">
      <c r="A15" s="11">
        <v>9.0</v>
      </c>
      <c r="B15" s="30" t="s">
        <v>174</v>
      </c>
      <c r="C15" s="30" t="s">
        <v>91</v>
      </c>
      <c r="D15" s="30" t="s">
        <v>94</v>
      </c>
      <c r="E15" s="31">
        <v>46059.0</v>
      </c>
      <c r="F15" s="31"/>
      <c r="G15" s="79">
        <v>4483.0028999711885</v>
      </c>
      <c r="H15" s="53">
        <v>20.0</v>
      </c>
      <c r="I15" s="33">
        <f t="shared" si="1"/>
        <v>37.20892407</v>
      </c>
      <c r="J15" s="33">
        <f t="shared" si="2"/>
        <v>4540.211824</v>
      </c>
      <c r="K15" s="30"/>
      <c r="L15" s="33">
        <f t="shared" si="3"/>
        <v>4540.211824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4.75" customHeight="1">
      <c r="A16" s="11">
        <v>10.0</v>
      </c>
      <c r="B16" s="30" t="s">
        <v>49</v>
      </c>
      <c r="C16" s="30" t="s">
        <v>91</v>
      </c>
      <c r="D16" s="30" t="s">
        <v>94</v>
      </c>
      <c r="E16" s="35">
        <v>46062.0</v>
      </c>
      <c r="F16" s="31" t="s">
        <v>38</v>
      </c>
      <c r="G16" s="79">
        <v>323.503819401584</v>
      </c>
      <c r="H16" s="53">
        <v>10.0</v>
      </c>
      <c r="I16" s="33">
        <f t="shared" si="1"/>
        <v>2.685081701</v>
      </c>
      <c r="J16" s="33">
        <f t="shared" si="2"/>
        <v>336.1889011</v>
      </c>
      <c r="K16" s="30"/>
      <c r="L16" s="33">
        <f t="shared" si="3"/>
        <v>336.1889011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4.75" customHeight="1">
      <c r="A17" s="41">
        <v>11.0</v>
      </c>
      <c r="B17" s="30" t="s">
        <v>58</v>
      </c>
      <c r="C17" s="30" t="s">
        <v>93</v>
      </c>
      <c r="D17" s="30" t="s">
        <v>94</v>
      </c>
      <c r="E17" s="35">
        <v>46063.0</v>
      </c>
      <c r="F17" s="31" t="s">
        <v>39</v>
      </c>
      <c r="G17" s="52">
        <v>597.2302617013424</v>
      </c>
      <c r="H17" s="53">
        <v>20.0</v>
      </c>
      <c r="I17" s="33">
        <f t="shared" si="1"/>
        <v>4.957011172</v>
      </c>
      <c r="J17" s="33">
        <f t="shared" si="2"/>
        <v>622.1872729</v>
      </c>
      <c r="K17" s="30"/>
      <c r="L17" s="33">
        <f t="shared" si="3"/>
        <v>622.1872729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4.75" customHeight="1">
      <c r="A18" s="41">
        <v>12.0</v>
      </c>
      <c r="B18" s="30" t="s">
        <v>51</v>
      </c>
      <c r="C18" s="30" t="s">
        <v>91</v>
      </c>
      <c r="D18" s="30" t="s">
        <v>94</v>
      </c>
      <c r="E18" s="35"/>
      <c r="F18" s="31" t="s">
        <v>34</v>
      </c>
      <c r="G18" s="52">
        <v>125.84507225580052</v>
      </c>
      <c r="H18" s="53"/>
      <c r="I18" s="33">
        <f t="shared" si="1"/>
        <v>1.0445141</v>
      </c>
      <c r="J18" s="33">
        <f t="shared" si="2"/>
        <v>126.8895864</v>
      </c>
      <c r="K18" s="30"/>
      <c r="L18" s="33">
        <f t="shared" si="3"/>
        <v>126.8895864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4.75" customHeight="1">
      <c r="A19" s="41">
        <v>13.0</v>
      </c>
      <c r="B19" s="30" t="s">
        <v>52</v>
      </c>
      <c r="C19" s="30" t="s">
        <v>91</v>
      </c>
      <c r="D19" s="30" t="s">
        <v>94</v>
      </c>
      <c r="E19" s="35"/>
      <c r="F19" s="31" t="s">
        <v>38</v>
      </c>
      <c r="G19" s="52">
        <v>99.61462402951062</v>
      </c>
      <c r="H19" s="53"/>
      <c r="I19" s="33">
        <f t="shared" si="1"/>
        <v>0.8268013794</v>
      </c>
      <c r="J19" s="33">
        <f t="shared" si="2"/>
        <v>100.4414254</v>
      </c>
      <c r="K19" s="30"/>
      <c r="L19" s="33">
        <f t="shared" si="3"/>
        <v>100.4414254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7.75" customHeight="1">
      <c r="A20" s="41">
        <v>14.0</v>
      </c>
      <c r="B20" s="30" t="s">
        <v>72</v>
      </c>
      <c r="C20" s="30" t="s">
        <v>91</v>
      </c>
      <c r="D20" s="30" t="s">
        <v>94</v>
      </c>
      <c r="E20" s="35"/>
      <c r="F20" s="31" t="s">
        <v>38</v>
      </c>
      <c r="G20" s="52">
        <v>378.0820588843949</v>
      </c>
      <c r="H20" s="53"/>
      <c r="I20" s="32">
        <f t="shared" si="1"/>
        <v>3.138081089</v>
      </c>
      <c r="J20" s="33">
        <f t="shared" si="2"/>
        <v>381.22014</v>
      </c>
      <c r="K20" s="34"/>
      <c r="L20" s="32">
        <f t="shared" si="3"/>
        <v>381.22014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4.75" customHeight="1">
      <c r="A21" s="41">
        <v>15.0</v>
      </c>
      <c r="B21" s="34" t="s">
        <v>54</v>
      </c>
      <c r="C21" s="34" t="s">
        <v>91</v>
      </c>
      <c r="D21" s="30" t="s">
        <v>94</v>
      </c>
      <c r="E21" s="35"/>
      <c r="F21" s="35" t="s">
        <v>34</v>
      </c>
      <c r="G21" s="52">
        <v>3141.4018458049454</v>
      </c>
      <c r="H21" s="53"/>
      <c r="I21" s="33">
        <f t="shared" si="1"/>
        <v>26.07363532</v>
      </c>
      <c r="J21" s="33">
        <f t="shared" si="2"/>
        <v>3167.475481</v>
      </c>
      <c r="K21" s="30"/>
      <c r="L21" s="33">
        <f t="shared" si="3"/>
        <v>3167.475481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4.75" customHeight="1">
      <c r="A22" s="41">
        <v>16.0</v>
      </c>
      <c r="B22" s="30" t="s">
        <v>55</v>
      </c>
      <c r="C22" s="30" t="s">
        <v>91</v>
      </c>
      <c r="D22" s="30" t="s">
        <v>94</v>
      </c>
      <c r="E22" s="35"/>
      <c r="F22" s="31" t="s">
        <v>33</v>
      </c>
      <c r="G22" s="52">
        <v>982.4258478661392</v>
      </c>
      <c r="H22" s="53"/>
      <c r="I22" s="33">
        <f t="shared" si="1"/>
        <v>8.154134537</v>
      </c>
      <c r="J22" s="33">
        <f t="shared" si="2"/>
        <v>990.5799824</v>
      </c>
      <c r="K22" s="30"/>
      <c r="L22" s="33">
        <f t="shared" si="3"/>
        <v>990.5799824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4.75" customHeight="1">
      <c r="A23" s="41">
        <v>17.0</v>
      </c>
      <c r="B23" s="30" t="s">
        <v>40</v>
      </c>
      <c r="C23" s="30" t="s">
        <v>91</v>
      </c>
      <c r="D23" s="30" t="s">
        <v>94</v>
      </c>
      <c r="E23" s="35"/>
      <c r="F23" s="31" t="s">
        <v>38</v>
      </c>
      <c r="G23" s="52">
        <v>103.81888079531029</v>
      </c>
      <c r="H23" s="53"/>
      <c r="I23" s="32">
        <f t="shared" si="1"/>
        <v>0.8616967106</v>
      </c>
      <c r="J23" s="33">
        <f t="shared" si="2"/>
        <v>104.6805775</v>
      </c>
      <c r="K23" s="34"/>
      <c r="L23" s="32">
        <f t="shared" si="3"/>
        <v>104.6805775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4.75" customHeight="1">
      <c r="A24" s="41">
        <v>18.0</v>
      </c>
      <c r="B24" s="30" t="s">
        <v>95</v>
      </c>
      <c r="C24" s="30" t="s">
        <v>93</v>
      </c>
      <c r="D24" s="30" t="s">
        <v>94</v>
      </c>
      <c r="E24" s="35">
        <v>46054.0</v>
      </c>
      <c r="F24" s="31" t="s">
        <v>39</v>
      </c>
      <c r="G24" s="52">
        <v>1096.9438102930956</v>
      </c>
      <c r="H24" s="53">
        <v>100.0</v>
      </c>
      <c r="I24" s="33">
        <f t="shared" si="1"/>
        <v>9.104633625</v>
      </c>
      <c r="J24" s="33">
        <f t="shared" si="2"/>
        <v>1206.048444</v>
      </c>
      <c r="K24" s="30"/>
      <c r="L24" s="33">
        <f t="shared" si="3"/>
        <v>1206.048444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4.75" customHeight="1">
      <c r="A25" s="41">
        <v>19.0</v>
      </c>
      <c r="B25" s="34" t="s">
        <v>97</v>
      </c>
      <c r="C25" s="30" t="s">
        <v>93</v>
      </c>
      <c r="D25" s="30" t="s">
        <v>94</v>
      </c>
      <c r="E25" s="35"/>
      <c r="F25" s="31" t="s">
        <v>34</v>
      </c>
      <c r="G25" s="52">
        <v>93.3193325195637</v>
      </c>
      <c r="H25" s="53"/>
      <c r="I25" s="32">
        <f t="shared" si="1"/>
        <v>0.7745504599</v>
      </c>
      <c r="J25" s="33">
        <f t="shared" si="2"/>
        <v>94.09388298</v>
      </c>
      <c r="K25" s="34"/>
      <c r="L25" s="32">
        <f t="shared" si="3"/>
        <v>94.09388298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41">
        <v>20.0</v>
      </c>
      <c r="B26" s="34" t="s">
        <v>98</v>
      </c>
      <c r="C26" s="34" t="s">
        <v>93</v>
      </c>
      <c r="D26" s="30" t="s">
        <v>94</v>
      </c>
      <c r="E26" s="35"/>
      <c r="F26" s="35" t="s">
        <v>38</v>
      </c>
      <c r="G26" s="52">
        <v>136.97982353791517</v>
      </c>
      <c r="H26" s="53"/>
      <c r="I26" s="33">
        <f t="shared" si="1"/>
        <v>1.136932535</v>
      </c>
      <c r="J26" s="33">
        <f t="shared" si="2"/>
        <v>138.1167561</v>
      </c>
      <c r="K26" s="30"/>
      <c r="L26" s="33">
        <f t="shared" si="3"/>
        <v>138.1167561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4.75" customHeight="1">
      <c r="A27" s="41">
        <v>21.0</v>
      </c>
      <c r="B27" s="30" t="s">
        <v>61</v>
      </c>
      <c r="C27" s="30" t="s">
        <v>91</v>
      </c>
      <c r="D27" s="30" t="s">
        <v>94</v>
      </c>
      <c r="E27" s="35"/>
      <c r="F27" s="31" t="s">
        <v>38</v>
      </c>
      <c r="G27" s="52">
        <v>161.2702237879695</v>
      </c>
      <c r="H27" s="53"/>
      <c r="I27" s="33">
        <f t="shared" si="1"/>
        <v>1.338542857</v>
      </c>
      <c r="J27" s="33">
        <f t="shared" si="2"/>
        <v>162.6087666</v>
      </c>
      <c r="K27" s="30"/>
      <c r="L27" s="33">
        <f t="shared" si="3"/>
        <v>162.6087666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4.75" customHeight="1">
      <c r="A28" s="41">
        <v>22.0</v>
      </c>
      <c r="B28" s="30" t="s">
        <v>63</v>
      </c>
      <c r="C28" s="30" t="s">
        <v>91</v>
      </c>
      <c r="D28" s="30" t="s">
        <v>94</v>
      </c>
      <c r="E28" s="35">
        <v>46062.0</v>
      </c>
      <c r="F28" s="31" t="s">
        <v>39</v>
      </c>
      <c r="G28" s="52">
        <v>1330.3523449369459</v>
      </c>
      <c r="H28" s="53">
        <v>50.0</v>
      </c>
      <c r="I28" s="33">
        <f t="shared" si="1"/>
        <v>11.04192446</v>
      </c>
      <c r="J28" s="33">
        <f t="shared" si="2"/>
        <v>1391.394269</v>
      </c>
      <c r="K28" s="30"/>
      <c r="L28" s="33">
        <f t="shared" si="3"/>
        <v>1391.394269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4.75" customHeight="1">
      <c r="A29" s="41">
        <v>23.0</v>
      </c>
      <c r="B29" s="34" t="s">
        <v>64</v>
      </c>
      <c r="C29" s="30" t="s">
        <v>91</v>
      </c>
      <c r="D29" s="30" t="s">
        <v>94</v>
      </c>
      <c r="E29" s="35"/>
      <c r="F29" s="31" t="s">
        <v>40</v>
      </c>
      <c r="G29" s="52">
        <v>760.3063582251601</v>
      </c>
      <c r="H29" s="53"/>
      <c r="I29" s="33">
        <f t="shared" si="1"/>
        <v>6.310542773</v>
      </c>
      <c r="J29" s="33">
        <f t="shared" si="2"/>
        <v>766.616901</v>
      </c>
      <c r="K29" s="30"/>
      <c r="L29" s="33">
        <f t="shared" si="3"/>
        <v>766.616901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4.75" customHeight="1">
      <c r="A30" s="41">
        <v>24.0</v>
      </c>
      <c r="B30" s="30" t="s">
        <v>65</v>
      </c>
      <c r="C30" s="30" t="s">
        <v>91</v>
      </c>
      <c r="D30" s="30" t="s">
        <v>94</v>
      </c>
      <c r="E30" s="35"/>
      <c r="F30" s="31" t="s">
        <v>39</v>
      </c>
      <c r="G30" s="52">
        <v>49.9455532318744</v>
      </c>
      <c r="H30" s="53"/>
      <c r="I30" s="33">
        <f t="shared" si="1"/>
        <v>0.4145480918</v>
      </c>
      <c r="J30" s="33">
        <f t="shared" si="2"/>
        <v>50.36010132</v>
      </c>
      <c r="K30" s="30"/>
      <c r="L30" s="33">
        <f t="shared" si="3"/>
        <v>50.36010132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4.75" customHeight="1">
      <c r="A31" s="41">
        <v>25.0</v>
      </c>
      <c r="B31" s="30" t="s">
        <v>66</v>
      </c>
      <c r="C31" s="30" t="s">
        <v>91</v>
      </c>
      <c r="D31" s="30" t="s">
        <v>94</v>
      </c>
      <c r="E31" s="35"/>
      <c r="F31" s="31" t="s">
        <v>33</v>
      </c>
      <c r="G31" s="52">
        <v>76.58471511376634</v>
      </c>
      <c r="H31" s="53"/>
      <c r="I31" s="33">
        <f t="shared" si="1"/>
        <v>0.6356531354</v>
      </c>
      <c r="J31" s="33">
        <f t="shared" si="2"/>
        <v>77.22036825</v>
      </c>
      <c r="K31" s="30"/>
      <c r="L31" s="33">
        <f t="shared" si="3"/>
        <v>77.22036825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4.75" customHeight="1">
      <c r="A32" s="41">
        <v>26.0</v>
      </c>
      <c r="B32" s="30" t="s">
        <v>99</v>
      </c>
      <c r="C32" s="30" t="s">
        <v>91</v>
      </c>
      <c r="D32" s="30" t="s">
        <v>94</v>
      </c>
      <c r="E32" s="35"/>
      <c r="F32" s="31" t="s">
        <v>38</v>
      </c>
      <c r="G32" s="52">
        <v>258.40794600816884</v>
      </c>
      <c r="H32" s="53"/>
      <c r="I32" s="33">
        <f t="shared" si="1"/>
        <v>2.144785952</v>
      </c>
      <c r="J32" s="33">
        <f t="shared" si="2"/>
        <v>260.552732</v>
      </c>
      <c r="K32" s="30"/>
      <c r="L32" s="33">
        <f t="shared" si="3"/>
        <v>260.552732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4.75" customHeight="1">
      <c r="A33" s="41">
        <v>27.0</v>
      </c>
      <c r="B33" s="30" t="s">
        <v>101</v>
      </c>
      <c r="C33" s="30" t="s">
        <v>93</v>
      </c>
      <c r="D33" s="30" t="s">
        <v>94</v>
      </c>
      <c r="E33" s="35"/>
      <c r="F33" s="31"/>
      <c r="G33" s="52">
        <v>2174.698755598414</v>
      </c>
      <c r="H33" s="53"/>
      <c r="I33" s="33">
        <f t="shared" si="1"/>
        <v>18.04999967</v>
      </c>
      <c r="J33" s="33">
        <f t="shared" si="2"/>
        <v>2192.748755</v>
      </c>
      <c r="K33" s="30"/>
      <c r="L33" s="33">
        <f t="shared" si="3"/>
        <v>2192.748755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30.0" customHeight="1">
      <c r="A34" s="41">
        <v>28.0</v>
      </c>
      <c r="B34" s="30" t="s">
        <v>102</v>
      </c>
      <c r="C34" s="30"/>
      <c r="D34" s="30" t="s">
        <v>94</v>
      </c>
      <c r="E34" s="35"/>
      <c r="F34" s="31"/>
      <c r="G34" s="52">
        <v>18.648542871855085</v>
      </c>
      <c r="H34" s="53"/>
      <c r="I34" s="33">
        <f t="shared" si="1"/>
        <v>0.1547829058</v>
      </c>
      <c r="J34" s="33">
        <f t="shared" si="2"/>
        <v>18.80332578</v>
      </c>
      <c r="K34" s="30"/>
      <c r="L34" s="33">
        <f t="shared" si="3"/>
        <v>18.80332578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30.0" customHeight="1">
      <c r="A35" s="41">
        <v>29.0</v>
      </c>
      <c r="B35" s="30" t="s">
        <v>104</v>
      </c>
      <c r="C35" s="30" t="s">
        <v>93</v>
      </c>
      <c r="D35" s="30" t="s">
        <v>94</v>
      </c>
      <c r="E35" s="35"/>
      <c r="F35" s="31"/>
      <c r="G35" s="52">
        <v>483.4244317404441</v>
      </c>
      <c r="H35" s="53"/>
      <c r="I35" s="33">
        <f t="shared" si="1"/>
        <v>4.012422783</v>
      </c>
      <c r="J35" s="33">
        <f t="shared" si="2"/>
        <v>487.4368545</v>
      </c>
      <c r="K35" s="30"/>
      <c r="L35" s="33">
        <f t="shared" si="3"/>
        <v>487.4368545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.0" customHeight="1">
      <c r="A36" s="41">
        <v>30.0</v>
      </c>
      <c r="B36" s="30" t="s">
        <v>190</v>
      </c>
      <c r="C36" s="34"/>
      <c r="D36" s="34" t="s">
        <v>94</v>
      </c>
      <c r="E36" s="35">
        <v>46062.0</v>
      </c>
      <c r="F36" s="35"/>
      <c r="G36" s="52">
        <v>454.1801882767262</v>
      </c>
      <c r="H36" s="53">
        <v>50.0</v>
      </c>
      <c r="I36" s="32">
        <f t="shared" si="1"/>
        <v>3.769695563</v>
      </c>
      <c r="J36" s="32">
        <f t="shared" si="2"/>
        <v>507.9498838</v>
      </c>
      <c r="K36" s="34"/>
      <c r="L36" s="32">
        <f t="shared" si="3"/>
        <v>507.9498838</v>
      </c>
      <c r="M36" s="63"/>
      <c r="N36" s="4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 ht="30.0" customHeight="1">
      <c r="A37" s="41">
        <v>31.0</v>
      </c>
      <c r="B37" s="34" t="s">
        <v>175</v>
      </c>
      <c r="C37" s="34" t="s">
        <v>93</v>
      </c>
      <c r="D37" s="34" t="s">
        <v>94</v>
      </c>
      <c r="E37" s="35">
        <v>46055.0</v>
      </c>
      <c r="F37" s="35"/>
      <c r="G37" s="52">
        <v>1096.618368701004</v>
      </c>
      <c r="H37" s="53">
        <v>100.0</v>
      </c>
      <c r="I37" s="32">
        <f t="shared" si="1"/>
        <v>9.10193246</v>
      </c>
      <c r="J37" s="32">
        <f t="shared" si="2"/>
        <v>1205.720301</v>
      </c>
      <c r="K37" s="34"/>
      <c r="L37" s="32">
        <f t="shared" si="3"/>
        <v>1205.720301</v>
      </c>
      <c r="M37" s="63"/>
      <c r="N37" s="4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</row>
    <row r="38" ht="30.0" customHeight="1">
      <c r="A38" s="41">
        <v>32.0</v>
      </c>
      <c r="B38" s="34" t="s">
        <v>108</v>
      </c>
      <c r="C38" s="34"/>
      <c r="D38" s="34" t="s">
        <v>94</v>
      </c>
      <c r="E38" s="35"/>
      <c r="F38" s="35"/>
      <c r="G38" s="52">
        <v>67.33168077359085</v>
      </c>
      <c r="H38" s="53"/>
      <c r="I38" s="32">
        <f t="shared" si="1"/>
        <v>0.5588529504</v>
      </c>
      <c r="J38" s="33">
        <f t="shared" si="2"/>
        <v>67.89053372</v>
      </c>
      <c r="K38" s="34"/>
      <c r="L38" s="32">
        <f t="shared" si="3"/>
        <v>67.89053372</v>
      </c>
      <c r="M38" s="63"/>
      <c r="N38" s="4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ht="30.0" customHeight="1">
      <c r="A39" s="41">
        <v>33.0</v>
      </c>
      <c r="B39" s="34" t="s">
        <v>111</v>
      </c>
      <c r="C39" s="34"/>
      <c r="D39" s="34" t="s">
        <v>94</v>
      </c>
      <c r="E39" s="35"/>
      <c r="F39" s="35"/>
      <c r="G39" s="52">
        <v>72.52838134030911</v>
      </c>
      <c r="H39" s="53"/>
      <c r="I39" s="32">
        <f t="shared" si="1"/>
        <v>0.6019855651</v>
      </c>
      <c r="J39" s="33">
        <f t="shared" si="2"/>
        <v>73.13036691</v>
      </c>
      <c r="K39" s="34"/>
      <c r="L39" s="32">
        <f t="shared" si="3"/>
        <v>73.13036691</v>
      </c>
      <c r="M39" s="63"/>
      <c r="N39" s="4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ht="30.0" customHeight="1">
      <c r="A40" s="41">
        <v>34.0</v>
      </c>
      <c r="B40" s="34" t="s">
        <v>112</v>
      </c>
      <c r="C40" s="34"/>
      <c r="D40" s="34" t="s">
        <v>94</v>
      </c>
      <c r="E40" s="35"/>
      <c r="F40" s="35"/>
      <c r="G40" s="52">
        <v>24.897889501372415</v>
      </c>
      <c r="H40" s="53"/>
      <c r="I40" s="32">
        <f t="shared" si="1"/>
        <v>0.2066524829</v>
      </c>
      <c r="J40" s="33">
        <f t="shared" si="2"/>
        <v>25.10454198</v>
      </c>
      <c r="K40" s="34"/>
      <c r="L40" s="32">
        <f t="shared" si="3"/>
        <v>25.10454198</v>
      </c>
      <c r="M40" s="63"/>
      <c r="N40" s="4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ht="30.0" customHeight="1">
      <c r="A41" s="41">
        <v>35.0</v>
      </c>
      <c r="B41" s="34" t="s">
        <v>116</v>
      </c>
      <c r="C41" s="34"/>
      <c r="D41" s="34" t="s">
        <v>94</v>
      </c>
      <c r="E41" s="35"/>
      <c r="F41" s="35"/>
      <c r="G41" s="52">
        <v>12.194230853105976</v>
      </c>
      <c r="H41" s="53"/>
      <c r="I41" s="32">
        <f t="shared" si="1"/>
        <v>0.1012121161</v>
      </c>
      <c r="J41" s="33">
        <f t="shared" si="2"/>
        <v>12.29544297</v>
      </c>
      <c r="K41" s="34"/>
      <c r="L41" s="32">
        <f t="shared" si="3"/>
        <v>12.29544297</v>
      </c>
      <c r="M41" s="63"/>
      <c r="N41" s="4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ht="30.0" customHeight="1">
      <c r="A42" s="41">
        <v>36.0</v>
      </c>
      <c r="B42" s="30" t="s">
        <v>118</v>
      </c>
      <c r="C42" s="30"/>
      <c r="D42" s="30" t="s">
        <v>94</v>
      </c>
      <c r="E42" s="35"/>
      <c r="F42" s="31"/>
      <c r="G42" s="52">
        <v>24.388461706211952</v>
      </c>
      <c r="H42" s="53"/>
      <c r="I42" s="33">
        <f t="shared" si="1"/>
        <v>0.2024242322</v>
      </c>
      <c r="J42" s="33">
        <f t="shared" si="2"/>
        <v>24.59088594</v>
      </c>
      <c r="K42" s="30"/>
      <c r="L42" s="33">
        <f t="shared" si="3"/>
        <v>24.59088594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30.0" customHeight="1">
      <c r="A43" s="41">
        <v>37.0</v>
      </c>
      <c r="B43" s="30" t="s">
        <v>176</v>
      </c>
      <c r="C43" s="34" t="s">
        <v>93</v>
      </c>
      <c r="D43" s="34" t="s">
        <v>94</v>
      </c>
      <c r="E43" s="35"/>
      <c r="F43" s="35"/>
      <c r="G43" s="32">
        <v>265.14371788300355</v>
      </c>
      <c r="H43" s="53"/>
      <c r="I43" s="32">
        <f t="shared" si="1"/>
        <v>2.200692858</v>
      </c>
      <c r="J43" s="32">
        <f t="shared" si="2"/>
        <v>267.3444107</v>
      </c>
      <c r="K43" s="34"/>
      <c r="L43" s="32">
        <f t="shared" si="3"/>
        <v>267.3444107</v>
      </c>
      <c r="M43" s="65"/>
      <c r="N43" s="4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ht="30.0" customHeight="1">
      <c r="A44" s="41">
        <v>38.0</v>
      </c>
      <c r="B44" s="30" t="s">
        <v>121</v>
      </c>
      <c r="C44" s="30"/>
      <c r="D44" s="30" t="s">
        <v>94</v>
      </c>
      <c r="E44" s="35"/>
      <c r="F44" s="31"/>
      <c r="G44" s="52">
        <v>12.093851882481381</v>
      </c>
      <c r="H44" s="53"/>
      <c r="I44" s="33">
        <f t="shared" si="1"/>
        <v>0.1003789706</v>
      </c>
      <c r="J44" s="33">
        <f t="shared" si="2"/>
        <v>12.19423085</v>
      </c>
      <c r="K44" s="30"/>
      <c r="L44" s="33">
        <f t="shared" si="3"/>
        <v>12.19423085</v>
      </c>
      <c r="M44" s="19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30.0" customHeight="1">
      <c r="A45" s="41">
        <v>39.0</v>
      </c>
      <c r="B45" s="34" t="s">
        <v>161</v>
      </c>
      <c r="C45" s="34" t="s">
        <v>93</v>
      </c>
      <c r="D45" s="34" t="s">
        <v>94</v>
      </c>
      <c r="E45" s="35"/>
      <c r="F45" s="35"/>
      <c r="G45" s="64">
        <v>113.15824035086344</v>
      </c>
      <c r="H45" s="53"/>
      <c r="I45" s="32">
        <f t="shared" si="1"/>
        <v>0.9392133949</v>
      </c>
      <c r="J45" s="32">
        <f t="shared" si="2"/>
        <v>114.0974537</v>
      </c>
      <c r="K45" s="12"/>
      <c r="L45" s="32">
        <f t="shared" si="3"/>
        <v>114.0974537</v>
      </c>
      <c r="M45" s="63"/>
      <c r="N45" s="4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ht="30.0" customHeight="1">
      <c r="A46" s="11">
        <v>40.0</v>
      </c>
      <c r="B46" s="54" t="s">
        <v>126</v>
      </c>
      <c r="C46" s="13" t="s">
        <v>91</v>
      </c>
      <c r="D46" s="30" t="s">
        <v>94</v>
      </c>
      <c r="E46" s="31"/>
      <c r="F46" s="14"/>
      <c r="G46" s="59">
        <v>391.09083705445903</v>
      </c>
      <c r="H46" s="53"/>
      <c r="I46" s="33">
        <f t="shared" si="1"/>
        <v>3.246053948</v>
      </c>
      <c r="J46" s="33">
        <f t="shared" si="2"/>
        <v>394.336891</v>
      </c>
      <c r="K46" s="13"/>
      <c r="L46" s="33">
        <f t="shared" si="3"/>
        <v>394.336891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0.0" customHeight="1">
      <c r="A47" s="41">
        <v>41.0</v>
      </c>
      <c r="B47" s="13" t="s">
        <v>127</v>
      </c>
      <c r="C47" s="13"/>
      <c r="D47" s="30" t="s">
        <v>94</v>
      </c>
      <c r="E47" s="35"/>
      <c r="F47" s="14"/>
      <c r="G47" s="53">
        <v>47.58388948487367</v>
      </c>
      <c r="H47" s="53"/>
      <c r="I47" s="33">
        <f t="shared" si="1"/>
        <v>0.3949462827</v>
      </c>
      <c r="J47" s="33">
        <f t="shared" si="2"/>
        <v>47.97883577</v>
      </c>
      <c r="K47" s="13"/>
      <c r="L47" s="33">
        <f t="shared" si="3"/>
        <v>47.97883577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30.0" customHeight="1">
      <c r="A48" s="41">
        <v>42.0</v>
      </c>
      <c r="B48" s="13" t="s">
        <v>128</v>
      </c>
      <c r="C48" s="13"/>
      <c r="D48" s="30" t="s">
        <v>94</v>
      </c>
      <c r="E48" s="35"/>
      <c r="F48" s="14"/>
      <c r="G48" s="53">
        <v>252.27131114233552</v>
      </c>
      <c r="H48" s="53"/>
      <c r="I48" s="33">
        <f t="shared" si="1"/>
        <v>2.093851882</v>
      </c>
      <c r="J48" s="33">
        <f t="shared" si="2"/>
        <v>254.365163</v>
      </c>
      <c r="K48" s="13"/>
      <c r="L48" s="33">
        <f t="shared" si="3"/>
        <v>254.365163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30.0" customHeight="1">
      <c r="A49" s="41">
        <v>43.0</v>
      </c>
      <c r="B49" s="13" t="s">
        <v>177</v>
      </c>
      <c r="C49" s="13" t="s">
        <v>91</v>
      </c>
      <c r="D49" s="30" t="s">
        <v>94</v>
      </c>
      <c r="E49" s="35">
        <v>46062.0</v>
      </c>
      <c r="F49" s="14" t="s">
        <v>101</v>
      </c>
      <c r="G49" s="53">
        <v>1376.8105669868705</v>
      </c>
      <c r="H49" s="53">
        <v>10.0</v>
      </c>
      <c r="I49" s="33">
        <f t="shared" si="1"/>
        <v>11.42752771</v>
      </c>
      <c r="J49" s="33">
        <f t="shared" si="2"/>
        <v>1398.238095</v>
      </c>
      <c r="K49" s="13"/>
      <c r="L49" s="33">
        <f t="shared" si="3"/>
        <v>1398.238095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30.0" customHeight="1">
      <c r="A50" s="41">
        <v>44.0</v>
      </c>
      <c r="B50" s="13" t="s">
        <v>132</v>
      </c>
      <c r="C50" s="13"/>
      <c r="D50" s="30" t="s">
        <v>94</v>
      </c>
      <c r="E50" s="35"/>
      <c r="F50" s="14"/>
      <c r="G50" s="53">
        <v>17.74542854396706</v>
      </c>
      <c r="H50" s="53"/>
      <c r="I50" s="33">
        <f t="shared" si="1"/>
        <v>0.1472870569</v>
      </c>
      <c r="J50" s="33">
        <f t="shared" si="2"/>
        <v>17.8927156</v>
      </c>
      <c r="K50" s="13"/>
      <c r="L50" s="33">
        <f t="shared" si="3"/>
        <v>17.8927156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7.0" customHeight="1">
      <c r="A51" s="41">
        <v>45.0</v>
      </c>
      <c r="B51" s="13" t="s">
        <v>133</v>
      </c>
      <c r="C51" s="13" t="s">
        <v>93</v>
      </c>
      <c r="D51" s="30" t="s">
        <v>94</v>
      </c>
      <c r="E51" s="35">
        <v>46063.0</v>
      </c>
      <c r="F51" s="14"/>
      <c r="G51" s="59">
        <v>826.2635477709691</v>
      </c>
      <c r="H51" s="53">
        <v>20.0</v>
      </c>
      <c r="I51" s="33">
        <f t="shared" si="1"/>
        <v>6.857987446</v>
      </c>
      <c r="J51" s="33">
        <f t="shared" si="2"/>
        <v>853.1215352</v>
      </c>
      <c r="K51" s="13"/>
      <c r="L51" s="33">
        <f t="shared" si="3"/>
        <v>853.1215352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.0" customHeight="1">
      <c r="A52" s="41">
        <v>46.0</v>
      </c>
      <c r="B52" s="30" t="s">
        <v>134</v>
      </c>
      <c r="C52" s="13"/>
      <c r="D52" s="30" t="s">
        <v>94</v>
      </c>
      <c r="E52" s="35"/>
      <c r="F52" s="14" t="s">
        <v>131</v>
      </c>
      <c r="G52" s="53">
        <v>23.6932115446259</v>
      </c>
      <c r="H52" s="53"/>
      <c r="I52" s="33">
        <f t="shared" si="1"/>
        <v>0.1966536558</v>
      </c>
      <c r="J52" s="33">
        <f t="shared" si="2"/>
        <v>23.8898652</v>
      </c>
      <c r="K52" s="13"/>
      <c r="L52" s="33">
        <f t="shared" si="3"/>
        <v>23.8898652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0.0" customHeight="1">
      <c r="A53" s="41">
        <v>47.0</v>
      </c>
      <c r="B53" s="30" t="s">
        <v>178</v>
      </c>
      <c r="C53" s="13"/>
      <c r="D53" s="30" t="s">
        <v>94</v>
      </c>
      <c r="E53" s="35">
        <v>46066.0</v>
      </c>
      <c r="F53" s="14" t="s">
        <v>131</v>
      </c>
      <c r="G53" s="53">
        <v>453.4597500720107</v>
      </c>
      <c r="H53" s="53">
        <v>40.0</v>
      </c>
      <c r="I53" s="33">
        <f t="shared" si="1"/>
        <v>3.763715926</v>
      </c>
      <c r="J53" s="33">
        <f t="shared" si="2"/>
        <v>497.223466</v>
      </c>
      <c r="K53" s="13"/>
      <c r="L53" s="33">
        <f t="shared" si="3"/>
        <v>497.223466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30.0" customHeight="1">
      <c r="A54" s="41">
        <v>48.0</v>
      </c>
      <c r="B54" s="13" t="s">
        <v>136</v>
      </c>
      <c r="C54" s="13"/>
      <c r="D54" s="30" t="s">
        <v>94</v>
      </c>
      <c r="E54" s="35"/>
      <c r="F54" s="14" t="s">
        <v>131</v>
      </c>
      <c r="G54" s="53">
        <v>23.6932115446259</v>
      </c>
      <c r="H54" s="53"/>
      <c r="I54" s="33">
        <f t="shared" si="1"/>
        <v>0.1966536558</v>
      </c>
      <c r="J54" s="33">
        <f t="shared" si="2"/>
        <v>23.8898652</v>
      </c>
      <c r="K54" s="13"/>
      <c r="L54" s="33">
        <f t="shared" si="3"/>
        <v>23.8898652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0.0" customHeight="1">
      <c r="A55" s="41">
        <v>49.0</v>
      </c>
      <c r="B55" s="13" t="s">
        <v>138</v>
      </c>
      <c r="C55" s="13"/>
      <c r="D55" s="30" t="s">
        <v>94</v>
      </c>
      <c r="E55" s="35"/>
      <c r="F55" s="14"/>
      <c r="G55" s="53">
        <v>11.797645543308219</v>
      </c>
      <c r="H55" s="53"/>
      <c r="I55" s="33">
        <f t="shared" si="1"/>
        <v>0.09792045801</v>
      </c>
      <c r="J55" s="33">
        <f t="shared" si="2"/>
        <v>11.895566</v>
      </c>
      <c r="K55" s="13"/>
      <c r="L55" s="33">
        <f t="shared" si="3"/>
        <v>11.895566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0.0" customHeight="1">
      <c r="A56" s="41">
        <v>50.0</v>
      </c>
      <c r="B56" s="13" t="s">
        <v>142</v>
      </c>
      <c r="C56" s="13" t="s">
        <v>93</v>
      </c>
      <c r="D56" s="30" t="s">
        <v>94</v>
      </c>
      <c r="E56" s="35">
        <v>46068.0</v>
      </c>
      <c r="F56" s="14"/>
      <c r="G56" s="53">
        <v>175.980988779966</v>
      </c>
      <c r="H56" s="53">
        <v>1.6</v>
      </c>
      <c r="I56" s="33">
        <f t="shared" si="1"/>
        <v>1.460642207</v>
      </c>
      <c r="J56" s="33">
        <f t="shared" si="2"/>
        <v>179.041631</v>
      </c>
      <c r="K56" s="13"/>
      <c r="L56" s="33">
        <f t="shared" si="3"/>
        <v>179.041631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0.0" customHeight="1">
      <c r="A57" s="41">
        <v>51.0</v>
      </c>
      <c r="B57" s="13" t="s">
        <v>153</v>
      </c>
      <c r="C57" s="13" t="s">
        <v>93</v>
      </c>
      <c r="D57" s="30" t="s">
        <v>94</v>
      </c>
      <c r="E57" s="35">
        <v>46063.0</v>
      </c>
      <c r="F57" s="14"/>
      <c r="G57" s="53">
        <v>747.7679281090365</v>
      </c>
      <c r="H57" s="53">
        <v>25.0</v>
      </c>
      <c r="I57" s="33">
        <f t="shared" si="1"/>
        <v>6.206473803</v>
      </c>
      <c r="J57" s="33">
        <f t="shared" si="2"/>
        <v>778.9744019</v>
      </c>
      <c r="K57" s="13"/>
      <c r="L57" s="33">
        <f t="shared" si="3"/>
        <v>778.9744019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30.0" customHeight="1">
      <c r="A58" s="41">
        <v>52.0</v>
      </c>
      <c r="B58" s="13" t="s">
        <v>154</v>
      </c>
      <c r="C58" s="13"/>
      <c r="D58" s="30" t="s">
        <v>94</v>
      </c>
      <c r="E58" s="35"/>
      <c r="F58" s="14"/>
      <c r="G58" s="53">
        <v>455.31482090543744</v>
      </c>
      <c r="H58" s="53"/>
      <c r="I58" s="33">
        <f t="shared" si="1"/>
        <v>3.779113014</v>
      </c>
      <c r="J58" s="33">
        <f t="shared" si="2"/>
        <v>459.0939339</v>
      </c>
      <c r="K58" s="13"/>
      <c r="L58" s="33">
        <f t="shared" si="3"/>
        <v>459.0939339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30.0" customHeight="1">
      <c r="A59" s="41">
        <v>53.0</v>
      </c>
      <c r="B59" s="13" t="s">
        <v>155</v>
      </c>
      <c r="C59" s="13"/>
      <c r="D59" s="30" t="s">
        <v>94</v>
      </c>
      <c r="E59" s="35">
        <v>46054.0</v>
      </c>
      <c r="F59" s="14"/>
      <c r="G59" s="53">
        <v>275.7073200776237</v>
      </c>
      <c r="H59" s="53">
        <v>30.0</v>
      </c>
      <c r="I59" s="33">
        <f t="shared" si="1"/>
        <v>2.288370757</v>
      </c>
      <c r="J59" s="33">
        <f t="shared" si="2"/>
        <v>307.9956908</v>
      </c>
      <c r="K59" s="13"/>
      <c r="L59" s="33">
        <f t="shared" si="3"/>
        <v>307.9956908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30.0" customHeight="1">
      <c r="A60" s="41">
        <v>54.0</v>
      </c>
      <c r="B60" s="13" t="s">
        <v>162</v>
      </c>
      <c r="C60" s="13"/>
      <c r="D60" s="30" t="s">
        <v>94</v>
      </c>
      <c r="E60" s="35">
        <v>46063.0</v>
      </c>
      <c r="F60" s="14"/>
      <c r="G60" s="53">
        <v>247.91138389032605</v>
      </c>
      <c r="H60" s="53">
        <v>50.0</v>
      </c>
      <c r="I60" s="33">
        <f t="shared" si="1"/>
        <v>2.057664486</v>
      </c>
      <c r="J60" s="33">
        <f t="shared" si="2"/>
        <v>299.9690484</v>
      </c>
      <c r="K60" s="13"/>
      <c r="L60" s="33">
        <f t="shared" si="3"/>
        <v>299.9690484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0.0" customHeight="1">
      <c r="A61" s="41">
        <v>55.0</v>
      </c>
      <c r="B61" s="13" t="s">
        <v>157</v>
      </c>
      <c r="C61" s="13"/>
      <c r="D61" s="30" t="s">
        <v>94</v>
      </c>
      <c r="E61" s="35"/>
      <c r="F61" s="14"/>
      <c r="G61" s="53">
        <v>27.023083051028735</v>
      </c>
      <c r="H61" s="53"/>
      <c r="I61" s="16">
        <f t="shared" si="1"/>
        <v>0.2242915893</v>
      </c>
      <c r="J61" s="33">
        <f t="shared" si="2"/>
        <v>27.24737464</v>
      </c>
      <c r="K61" s="13"/>
      <c r="L61" s="33">
        <f t="shared" si="3"/>
        <v>27.24737464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41">
        <v>56.0</v>
      </c>
      <c r="B62" s="12" t="s">
        <v>179</v>
      </c>
      <c r="C62" s="12"/>
      <c r="D62" s="34" t="s">
        <v>94</v>
      </c>
      <c r="E62" s="35">
        <v>46055.0</v>
      </c>
      <c r="F62" s="22"/>
      <c r="G62" s="53">
        <v>880.1447712502003</v>
      </c>
      <c r="H62" s="53">
        <v>100.0</v>
      </c>
      <c r="I62" s="15">
        <f t="shared" si="1"/>
        <v>7.305201601</v>
      </c>
      <c r="J62" s="32">
        <f t="shared" si="2"/>
        <v>987.4499729</v>
      </c>
      <c r="K62" s="12"/>
      <c r="L62" s="32">
        <f t="shared" si="3"/>
        <v>987.4499729</v>
      </c>
      <c r="M62" s="63"/>
      <c r="N62" s="4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</row>
    <row r="63" ht="30.0" customHeight="1">
      <c r="A63" s="41">
        <v>57.0</v>
      </c>
      <c r="B63" s="13" t="s">
        <v>160</v>
      </c>
      <c r="C63" s="13"/>
      <c r="D63" s="30" t="s">
        <v>94</v>
      </c>
      <c r="E63" s="35">
        <v>46068.0</v>
      </c>
      <c r="F63" s="14"/>
      <c r="G63" s="53">
        <v>57.38291958654341</v>
      </c>
      <c r="H63" s="53">
        <v>5.0</v>
      </c>
      <c r="I63" s="16">
        <f t="shared" si="1"/>
        <v>0.4762782326</v>
      </c>
      <c r="J63" s="33">
        <f t="shared" si="2"/>
        <v>62.85919782</v>
      </c>
      <c r="K63" s="13"/>
      <c r="L63" s="33">
        <f t="shared" si="3"/>
        <v>62.85919782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0.0" customHeight="1">
      <c r="A64" s="41">
        <v>58.0</v>
      </c>
      <c r="B64" s="13" t="s">
        <v>164</v>
      </c>
      <c r="C64" s="13"/>
      <c r="D64" s="30" t="s">
        <v>94</v>
      </c>
      <c r="E64" s="35">
        <v>46058.0</v>
      </c>
      <c r="F64" s="14"/>
      <c r="G64" s="53">
        <v>437.6377615906206</v>
      </c>
      <c r="H64" s="53">
        <v>50.0</v>
      </c>
      <c r="I64" s="16">
        <f t="shared" si="1"/>
        <v>3.632393421</v>
      </c>
      <c r="J64" s="33">
        <f t="shared" si="2"/>
        <v>491.270155</v>
      </c>
      <c r="K64" s="13"/>
      <c r="L64" s="33">
        <f t="shared" si="3"/>
        <v>491.270155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30.0" customHeight="1">
      <c r="A65" s="41">
        <v>59.0</v>
      </c>
      <c r="B65" s="13" t="s">
        <v>180</v>
      </c>
      <c r="C65" s="13" t="s">
        <v>93</v>
      </c>
      <c r="D65" s="30" t="s">
        <v>94</v>
      </c>
      <c r="E65" s="35">
        <v>46054.0</v>
      </c>
      <c r="F65" s="14"/>
      <c r="G65" s="53">
        <v>265.1443041483187</v>
      </c>
      <c r="H65" s="53">
        <v>30.0</v>
      </c>
      <c r="I65" s="16">
        <f t="shared" si="1"/>
        <v>2.200697724</v>
      </c>
      <c r="J65" s="33">
        <f t="shared" si="2"/>
        <v>297.3450019</v>
      </c>
      <c r="K65" s="13"/>
      <c r="L65" s="33">
        <f t="shared" si="3"/>
        <v>297.3450019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30.0" customHeight="1">
      <c r="A66" s="41">
        <v>60.0</v>
      </c>
      <c r="B66" s="13" t="s">
        <v>168</v>
      </c>
      <c r="C66" s="13"/>
      <c r="D66" s="30" t="s">
        <v>94</v>
      </c>
      <c r="E66" s="35"/>
      <c r="F66" s="14"/>
      <c r="G66" s="53">
        <v>104.05784706280375</v>
      </c>
      <c r="H66" s="33"/>
      <c r="I66" s="16">
        <f t="shared" si="1"/>
        <v>0.8636801306</v>
      </c>
      <c r="J66" s="33">
        <f t="shared" si="2"/>
        <v>104.9215272</v>
      </c>
      <c r="K66" s="13"/>
      <c r="L66" s="33">
        <f t="shared" si="3"/>
        <v>104.9215272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30.0" customHeight="1">
      <c r="A67" s="41">
        <v>61.0</v>
      </c>
      <c r="B67" s="13" t="s">
        <v>169</v>
      </c>
      <c r="C67" s="13"/>
      <c r="D67" s="30" t="s">
        <v>94</v>
      </c>
      <c r="E67" s="35">
        <v>46058.0</v>
      </c>
      <c r="F67" s="14"/>
      <c r="G67" s="53">
        <v>113.89329986189693</v>
      </c>
      <c r="H67" s="53">
        <v>10.0</v>
      </c>
      <c r="I67" s="16">
        <f t="shared" si="1"/>
        <v>0.9453143889</v>
      </c>
      <c r="J67" s="33">
        <f t="shared" si="2"/>
        <v>124.8386143</v>
      </c>
      <c r="K67" s="13"/>
      <c r="L67" s="33">
        <f t="shared" si="3"/>
        <v>124.8386143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30.0" customHeight="1">
      <c r="A68" s="41">
        <v>62.0</v>
      </c>
      <c r="B68" s="13" t="s">
        <v>181</v>
      </c>
      <c r="C68" s="13"/>
      <c r="D68" s="30" t="s">
        <v>94</v>
      </c>
      <c r="E68" s="35">
        <v>46072.0</v>
      </c>
      <c r="F68" s="14"/>
      <c r="G68" s="53">
        <v>92.95865001440761</v>
      </c>
      <c r="H68" s="53">
        <v>10.0</v>
      </c>
      <c r="I68" s="16">
        <f t="shared" si="1"/>
        <v>0.7715567951</v>
      </c>
      <c r="J68" s="33">
        <f t="shared" si="2"/>
        <v>103.7302068</v>
      </c>
      <c r="K68" s="13"/>
      <c r="L68" s="33">
        <f t="shared" si="3"/>
        <v>103.7302068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30.0" customHeight="1">
      <c r="A69" s="41">
        <v>63.0</v>
      </c>
      <c r="B69" s="13" t="s">
        <v>171</v>
      </c>
      <c r="C69" s="13"/>
      <c r="D69" s="30" t="s">
        <v>94</v>
      </c>
      <c r="E69" s="35">
        <v>46054.0</v>
      </c>
      <c r="F69" s="14"/>
      <c r="G69" s="53">
        <v>180.0467632464484</v>
      </c>
      <c r="H69" s="53">
        <v>30.0</v>
      </c>
      <c r="I69" s="16">
        <f t="shared" si="1"/>
        <v>1.494388135</v>
      </c>
      <c r="J69" s="33">
        <f t="shared" si="2"/>
        <v>211.5411514</v>
      </c>
      <c r="K69" s="13"/>
      <c r="L69" s="33">
        <f t="shared" si="3"/>
        <v>211.5411514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30.0" customHeight="1">
      <c r="A70" s="41">
        <v>64.0</v>
      </c>
      <c r="B70" s="13" t="s">
        <v>182</v>
      </c>
      <c r="C70" s="13"/>
      <c r="D70" s="30" t="s">
        <v>94</v>
      </c>
      <c r="E70" s="35"/>
      <c r="F70" s="14"/>
      <c r="G70" s="53">
        <v>71.76731262483534</v>
      </c>
      <c r="H70" s="53"/>
      <c r="I70" s="16">
        <f t="shared" si="1"/>
        <v>0.5956686948</v>
      </c>
      <c r="J70" s="33">
        <f t="shared" si="2"/>
        <v>72.36298132</v>
      </c>
      <c r="K70" s="13"/>
      <c r="L70" s="33">
        <f t="shared" si="3"/>
        <v>72.36298132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30.0" customHeight="1">
      <c r="A71" s="41">
        <v>65.0</v>
      </c>
      <c r="B71" s="13" t="s">
        <v>183</v>
      </c>
      <c r="C71" s="13"/>
      <c r="D71" s="30" t="s">
        <v>94</v>
      </c>
      <c r="E71" s="35"/>
      <c r="F71" s="14"/>
      <c r="G71" s="97">
        <v>20.76</v>
      </c>
      <c r="H71" s="53"/>
      <c r="I71" s="16">
        <f t="shared" si="1"/>
        <v>0.172308</v>
      </c>
      <c r="J71" s="33">
        <f t="shared" si="2"/>
        <v>20.932308</v>
      </c>
      <c r="K71" s="13"/>
      <c r="L71" s="33">
        <f t="shared" si="3"/>
        <v>20.932308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30.0" customHeight="1">
      <c r="A72" s="41">
        <v>66.0</v>
      </c>
      <c r="B72" s="13" t="s">
        <v>184</v>
      </c>
      <c r="C72" s="13"/>
      <c r="D72" s="30" t="s">
        <v>94</v>
      </c>
      <c r="E72" s="35">
        <v>46057.0</v>
      </c>
      <c r="F72" s="14"/>
      <c r="G72" s="53">
        <v>137.47626284270532</v>
      </c>
      <c r="H72" s="53">
        <v>30.0</v>
      </c>
      <c r="I72" s="16">
        <f t="shared" si="1"/>
        <v>1.141052982</v>
      </c>
      <c r="J72" s="33">
        <f t="shared" si="2"/>
        <v>168.6173158</v>
      </c>
      <c r="K72" s="13"/>
      <c r="L72" s="33">
        <f t="shared" si="3"/>
        <v>168.6173158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30.0" customHeight="1">
      <c r="A73" s="41">
        <v>67.0</v>
      </c>
      <c r="B73" s="98" t="s">
        <v>185</v>
      </c>
      <c r="C73" s="13"/>
      <c r="D73" s="30" t="s">
        <v>94</v>
      </c>
      <c r="E73" s="35">
        <v>46058.0</v>
      </c>
      <c r="F73" s="14"/>
      <c r="G73" s="53">
        <v>143.53462524967068</v>
      </c>
      <c r="H73" s="53">
        <v>20.0</v>
      </c>
      <c r="I73" s="16">
        <f t="shared" si="1"/>
        <v>1.19133739</v>
      </c>
      <c r="J73" s="33">
        <f t="shared" si="2"/>
        <v>164.7259626</v>
      </c>
      <c r="K73" s="13"/>
      <c r="L73" s="33">
        <f t="shared" si="3"/>
        <v>164.7259626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30.0" customHeight="1">
      <c r="A74" s="41">
        <v>68.0</v>
      </c>
      <c r="B74" s="13" t="s">
        <v>215</v>
      </c>
      <c r="C74" s="13" t="s">
        <v>93</v>
      </c>
      <c r="D74" s="30" t="s">
        <v>94</v>
      </c>
      <c r="E74" s="35">
        <v>46058.0</v>
      </c>
      <c r="F74" s="14" t="s">
        <v>175</v>
      </c>
      <c r="G74" s="53">
        <v>870.4065609981096</v>
      </c>
      <c r="H74" s="53">
        <v>30.0</v>
      </c>
      <c r="I74" s="16">
        <f t="shared" si="1"/>
        <v>7.224374456</v>
      </c>
      <c r="J74" s="33">
        <f t="shared" si="2"/>
        <v>907.6309355</v>
      </c>
      <c r="K74" s="13"/>
      <c r="L74" s="33">
        <f t="shared" si="3"/>
        <v>907.6309355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30.0" customHeight="1">
      <c r="A75" s="41">
        <v>69.0</v>
      </c>
      <c r="B75" s="13" t="s">
        <v>187</v>
      </c>
      <c r="C75" s="13"/>
      <c r="D75" s="30" t="s">
        <v>94</v>
      </c>
      <c r="E75" s="35">
        <v>46063.0</v>
      </c>
      <c r="F75" s="14"/>
      <c r="G75" s="53">
        <v>71.76731262483534</v>
      </c>
      <c r="H75" s="53">
        <v>10.0</v>
      </c>
      <c r="I75" s="16">
        <f t="shared" si="1"/>
        <v>0.5956686948</v>
      </c>
      <c r="J75" s="33">
        <f t="shared" si="2"/>
        <v>82.36298132</v>
      </c>
      <c r="K75" s="13"/>
      <c r="L75" s="33">
        <f t="shared" si="3"/>
        <v>82.36298132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30.0" customHeight="1">
      <c r="A76" s="41">
        <v>70.0</v>
      </c>
      <c r="B76" s="13" t="s">
        <v>191</v>
      </c>
      <c r="C76" s="13"/>
      <c r="D76" s="30" t="s">
        <v>94</v>
      </c>
      <c r="E76" s="35">
        <v>46059.0</v>
      </c>
      <c r="F76" s="14"/>
      <c r="G76" s="53">
        <v>356.2943202659692</v>
      </c>
      <c r="H76" s="53">
        <v>50.0</v>
      </c>
      <c r="I76" s="16">
        <f t="shared" si="1"/>
        <v>2.957242858</v>
      </c>
      <c r="J76" s="33">
        <f t="shared" si="2"/>
        <v>409.2515631</v>
      </c>
      <c r="K76" s="13"/>
      <c r="L76" s="33">
        <f t="shared" si="3"/>
        <v>409.2515631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30.0" customHeight="1">
      <c r="A77" s="41">
        <v>71.0</v>
      </c>
      <c r="B77" s="13" t="s">
        <v>192</v>
      </c>
      <c r="C77" s="13"/>
      <c r="D77" s="30" t="s">
        <v>94</v>
      </c>
      <c r="E77" s="35">
        <v>46057.0</v>
      </c>
      <c r="F77" s="14"/>
      <c r="G77" s="53">
        <v>305.4608757659692</v>
      </c>
      <c r="H77" s="53">
        <v>100.0</v>
      </c>
      <c r="I77" s="16">
        <f t="shared" si="1"/>
        <v>2.535325269</v>
      </c>
      <c r="J77" s="33">
        <f t="shared" si="2"/>
        <v>407.996201</v>
      </c>
      <c r="K77" s="13"/>
      <c r="L77" s="33">
        <f t="shared" si="3"/>
        <v>407.996201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30.0" customHeight="1">
      <c r="A78" s="41">
        <v>72.0</v>
      </c>
      <c r="B78" s="13" t="s">
        <v>199</v>
      </c>
      <c r="C78" s="13"/>
      <c r="D78" s="30" t="s">
        <v>94</v>
      </c>
      <c r="E78" s="35">
        <v>46063.0</v>
      </c>
      <c r="F78" s="14"/>
      <c r="G78" s="53">
        <v>45.58410576787</v>
      </c>
      <c r="H78" s="53">
        <v>10.0</v>
      </c>
      <c r="I78" s="16">
        <f t="shared" si="1"/>
        <v>0.3783480779</v>
      </c>
      <c r="J78" s="33">
        <f t="shared" si="2"/>
        <v>55.96245385</v>
      </c>
      <c r="K78" s="13"/>
      <c r="L78" s="33">
        <f t="shared" si="3"/>
        <v>55.96245385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30.0" customHeight="1">
      <c r="A79" s="41">
        <v>73.0</v>
      </c>
      <c r="B79" s="13" t="s">
        <v>205</v>
      </c>
      <c r="C79" s="13"/>
      <c r="D79" s="30" t="s">
        <v>94</v>
      </c>
      <c r="E79" s="35">
        <v>46072.0</v>
      </c>
      <c r="F79" s="14"/>
      <c r="G79" s="53">
        <v>30.1245</v>
      </c>
      <c r="H79" s="53">
        <v>10.0</v>
      </c>
      <c r="I79" s="16">
        <f t="shared" si="1"/>
        <v>0.25003335</v>
      </c>
      <c r="J79" s="33">
        <f t="shared" si="2"/>
        <v>40.37453335</v>
      </c>
      <c r="K79" s="13"/>
      <c r="L79" s="33">
        <f t="shared" si="3"/>
        <v>40.37453335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30.0" customHeight="1">
      <c r="A80" s="41">
        <v>74.0</v>
      </c>
      <c r="B80" s="13" t="s">
        <v>206</v>
      </c>
      <c r="C80" s="13"/>
      <c r="D80" s="30" t="s">
        <v>94</v>
      </c>
      <c r="E80" s="35">
        <v>46057.0</v>
      </c>
      <c r="F80" s="14"/>
      <c r="G80" s="53">
        <v>40.166</v>
      </c>
      <c r="H80" s="53">
        <v>50.0</v>
      </c>
      <c r="I80" s="16">
        <f t="shared" si="1"/>
        <v>0.3333778</v>
      </c>
      <c r="J80" s="33">
        <f t="shared" si="2"/>
        <v>90.4993778</v>
      </c>
      <c r="K80" s="13"/>
      <c r="L80" s="33">
        <f t="shared" si="3"/>
        <v>90.4993778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30.0" customHeight="1">
      <c r="A81" s="41">
        <v>75.0</v>
      </c>
      <c r="B81" s="98" t="s">
        <v>207</v>
      </c>
      <c r="C81" s="13"/>
      <c r="D81" s="30" t="s">
        <v>94</v>
      </c>
      <c r="E81" s="35">
        <v>46055.0</v>
      </c>
      <c r="F81" s="14"/>
      <c r="G81" s="53">
        <v>40.166</v>
      </c>
      <c r="H81" s="53">
        <v>50.0</v>
      </c>
      <c r="I81" s="16">
        <f t="shared" si="1"/>
        <v>0.3333778</v>
      </c>
      <c r="J81" s="33">
        <f t="shared" si="2"/>
        <v>90.4993778</v>
      </c>
      <c r="K81" s="13"/>
      <c r="L81" s="33">
        <f t="shared" si="3"/>
        <v>90.4993778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30.0" customHeight="1">
      <c r="A82" s="41">
        <v>76.0</v>
      </c>
      <c r="B82" s="13" t="s">
        <v>217</v>
      </c>
      <c r="C82" s="13" t="s">
        <v>93</v>
      </c>
      <c r="D82" s="30" t="s">
        <v>94</v>
      </c>
      <c r="E82" s="35">
        <v>46068.0</v>
      </c>
      <c r="F82" s="14"/>
      <c r="G82" s="53">
        <v>75.0</v>
      </c>
      <c r="H82" s="53">
        <v>25.0</v>
      </c>
      <c r="I82" s="16">
        <f t="shared" si="1"/>
        <v>0.6225</v>
      </c>
      <c r="J82" s="33">
        <f t="shared" si="2"/>
        <v>100.6225</v>
      </c>
      <c r="K82" s="13"/>
      <c r="L82" s="33">
        <f t="shared" si="3"/>
        <v>100.6225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30.0" customHeight="1">
      <c r="A83" s="41">
        <v>77.0</v>
      </c>
      <c r="B83" s="13" t="s">
        <v>219</v>
      </c>
      <c r="C83" s="13"/>
      <c r="D83" s="30" t="s">
        <v>94</v>
      </c>
      <c r="E83" s="35">
        <v>46062.0</v>
      </c>
      <c r="F83" s="14"/>
      <c r="G83" s="53"/>
      <c r="H83" s="53">
        <v>100.0</v>
      </c>
      <c r="I83" s="16">
        <f t="shared" si="1"/>
        <v>0</v>
      </c>
      <c r="J83" s="33">
        <f t="shared" si="2"/>
        <v>100</v>
      </c>
      <c r="K83" s="13"/>
      <c r="L83" s="33">
        <f t="shared" si="3"/>
        <v>100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30.0" customHeight="1">
      <c r="A84" s="41">
        <v>78.0</v>
      </c>
      <c r="B84" s="13" t="s">
        <v>220</v>
      </c>
      <c r="C84" s="13"/>
      <c r="D84" s="30" t="s">
        <v>94</v>
      </c>
      <c r="E84" s="35">
        <v>46063.0</v>
      </c>
      <c r="F84" s="14"/>
      <c r="G84" s="53"/>
      <c r="H84" s="53">
        <v>30.0</v>
      </c>
      <c r="I84" s="16">
        <f t="shared" si="1"/>
        <v>0</v>
      </c>
      <c r="J84" s="33">
        <f t="shared" si="2"/>
        <v>30</v>
      </c>
      <c r="K84" s="13"/>
      <c r="L84" s="33">
        <f t="shared" si="3"/>
        <v>30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30.0" customHeight="1">
      <c r="A85" s="41">
        <v>79.0</v>
      </c>
      <c r="B85" s="13"/>
      <c r="C85" s="13"/>
      <c r="D85" s="30" t="s">
        <v>94</v>
      </c>
      <c r="E85" s="35"/>
      <c r="F85" s="14"/>
      <c r="G85" s="53"/>
      <c r="H85" s="53"/>
      <c r="I85" s="16"/>
      <c r="J85" s="33"/>
      <c r="K85" s="13"/>
      <c r="L85" s="3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30.0" customHeight="1">
      <c r="A86" s="41">
        <v>80.0</v>
      </c>
      <c r="B86" s="13"/>
      <c r="C86" s="13"/>
      <c r="D86" s="30" t="s">
        <v>94</v>
      </c>
      <c r="E86" s="35"/>
      <c r="F86" s="14"/>
      <c r="G86" s="53"/>
      <c r="H86" s="53"/>
      <c r="I86" s="16"/>
      <c r="J86" s="33"/>
      <c r="K86" s="13"/>
      <c r="L86" s="3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0" customHeight="1">
      <c r="A87" s="17"/>
      <c r="B87" s="13"/>
      <c r="C87" s="13"/>
      <c r="D87" s="13"/>
      <c r="E87" s="13"/>
      <c r="F87" s="13"/>
      <c r="G87" s="55">
        <f>SUM(G7:G82)</f>
        <v>68591.87008</v>
      </c>
      <c r="H87" s="55">
        <f t="shared" ref="H87:L87" si="4">SUM(H7:H84)</f>
        <v>1846.88</v>
      </c>
      <c r="I87" s="55">
        <f t="shared" si="4"/>
        <v>569.3125216</v>
      </c>
      <c r="J87" s="55">
        <f t="shared" si="4"/>
        <v>71008.0626</v>
      </c>
      <c r="K87" s="55">
        <f t="shared" si="4"/>
        <v>0</v>
      </c>
      <c r="L87" s="55">
        <f t="shared" si="4"/>
        <v>71008.0626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21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6:$L$87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1.0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>
      <c r="A5" s="99" t="s">
        <v>221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</row>
    <row r="7" ht="24.75" customHeight="1">
      <c r="A7" s="11">
        <v>1.0</v>
      </c>
      <c r="B7" s="30" t="s">
        <v>131</v>
      </c>
      <c r="C7" s="30" t="s">
        <v>91</v>
      </c>
      <c r="D7" s="30" t="s">
        <v>92</v>
      </c>
      <c r="E7" s="35"/>
      <c r="F7" s="31"/>
      <c r="G7" s="32">
        <v>5533.802623430552</v>
      </c>
      <c r="H7" s="53"/>
      <c r="I7" s="33">
        <f t="shared" ref="I7:I91" si="1">G7*0.83%</f>
        <v>45.93056177</v>
      </c>
      <c r="J7" s="33">
        <f t="shared" ref="J7:J91" si="2">G7+H7+I7</f>
        <v>5579.733185</v>
      </c>
      <c r="K7" s="30"/>
      <c r="L7" s="33">
        <f t="shared" ref="L7:L91" si="3">J7-K7</f>
        <v>5579.733185</v>
      </c>
    </row>
    <row r="8" ht="24.75" customHeight="1">
      <c r="A8" s="11">
        <v>2.0</v>
      </c>
      <c r="B8" s="30" t="s">
        <v>33</v>
      </c>
      <c r="C8" s="30" t="s">
        <v>91</v>
      </c>
      <c r="D8" s="34" t="s">
        <v>209</v>
      </c>
      <c r="E8" s="100"/>
      <c r="F8" s="31"/>
      <c r="G8" s="32">
        <v>9425.788080467617</v>
      </c>
      <c r="H8" s="53"/>
      <c r="I8" s="33">
        <f t="shared" si="1"/>
        <v>78.23404107</v>
      </c>
      <c r="J8" s="33">
        <f t="shared" si="2"/>
        <v>9504.022122</v>
      </c>
      <c r="K8" s="30"/>
      <c r="L8" s="33">
        <f t="shared" si="3"/>
        <v>9504.022122</v>
      </c>
    </row>
    <row r="9" ht="24.75" customHeight="1">
      <c r="A9" s="11">
        <v>3.0</v>
      </c>
      <c r="B9" s="30" t="s">
        <v>34</v>
      </c>
      <c r="C9" s="30" t="s">
        <v>91</v>
      </c>
      <c r="D9" s="30" t="s">
        <v>92</v>
      </c>
      <c r="E9" s="100">
        <v>46090.0</v>
      </c>
      <c r="F9" s="31"/>
      <c r="G9" s="32">
        <v>9614.656988185447</v>
      </c>
      <c r="H9" s="97">
        <v>50.0</v>
      </c>
      <c r="I9" s="33">
        <f t="shared" si="1"/>
        <v>79.801653</v>
      </c>
      <c r="J9" s="33">
        <f t="shared" si="2"/>
        <v>9744.458641</v>
      </c>
      <c r="K9" s="30"/>
      <c r="L9" s="33">
        <f t="shared" si="3"/>
        <v>9744.458641</v>
      </c>
    </row>
    <row r="10" ht="24.75" customHeight="1">
      <c r="A10" s="11">
        <v>4.0</v>
      </c>
      <c r="B10" s="34" t="s">
        <v>35</v>
      </c>
      <c r="C10" s="34" t="s">
        <v>93</v>
      </c>
      <c r="D10" s="34" t="s">
        <v>92</v>
      </c>
      <c r="E10" s="35"/>
      <c r="F10" s="31" t="s">
        <v>101</v>
      </c>
      <c r="G10" s="32">
        <v>229.86355110971954</v>
      </c>
      <c r="H10" s="53"/>
      <c r="I10" s="32">
        <f t="shared" si="1"/>
        <v>1.907867474</v>
      </c>
      <c r="J10" s="33">
        <f t="shared" si="2"/>
        <v>231.7714186</v>
      </c>
      <c r="K10" s="51"/>
      <c r="L10" s="32">
        <f t="shared" si="3"/>
        <v>231.7714186</v>
      </c>
    </row>
    <row r="11" ht="24.75" customHeight="1">
      <c r="A11" s="11">
        <v>5.0</v>
      </c>
      <c r="B11" s="34" t="s">
        <v>189</v>
      </c>
      <c r="C11" s="34" t="s">
        <v>91</v>
      </c>
      <c r="D11" s="34" t="s">
        <v>92</v>
      </c>
      <c r="E11" s="100">
        <v>46084.0</v>
      </c>
      <c r="F11" s="35"/>
      <c r="G11" s="32">
        <v>766.8688799974633</v>
      </c>
      <c r="H11" s="97">
        <v>15.0</v>
      </c>
      <c r="I11" s="32">
        <f t="shared" si="1"/>
        <v>6.365011704</v>
      </c>
      <c r="J11" s="33">
        <f t="shared" si="2"/>
        <v>788.2338917</v>
      </c>
      <c r="K11" s="34"/>
      <c r="L11" s="32">
        <f t="shared" si="3"/>
        <v>788.2338917</v>
      </c>
    </row>
    <row r="12" ht="24.75" customHeight="1">
      <c r="A12" s="11">
        <v>6.0</v>
      </c>
      <c r="B12" s="34" t="s">
        <v>37</v>
      </c>
      <c r="C12" s="34" t="s">
        <v>91</v>
      </c>
      <c r="D12" s="34" t="s">
        <v>92</v>
      </c>
      <c r="E12" s="100">
        <v>46091.0</v>
      </c>
      <c r="F12" s="35"/>
      <c r="G12" s="32">
        <v>1725.6948266320148</v>
      </c>
      <c r="H12" s="97">
        <v>100.0</v>
      </c>
      <c r="I12" s="32">
        <f t="shared" si="1"/>
        <v>14.32326706</v>
      </c>
      <c r="J12" s="33">
        <f t="shared" si="2"/>
        <v>1840.018094</v>
      </c>
      <c r="K12" s="34"/>
      <c r="L12" s="32">
        <f t="shared" si="3"/>
        <v>1840.018094</v>
      </c>
    </row>
    <row r="13" ht="24.75" customHeight="1">
      <c r="A13" s="11">
        <v>7.0</v>
      </c>
      <c r="B13" s="34" t="s">
        <v>38</v>
      </c>
      <c r="C13" s="34" t="s">
        <v>91</v>
      </c>
      <c r="D13" s="34" t="s">
        <v>92</v>
      </c>
      <c r="E13" s="100">
        <v>46094.0</v>
      </c>
      <c r="F13" s="35"/>
      <c r="G13" s="32">
        <v>9708.13569487497</v>
      </c>
      <c r="H13" s="97">
        <v>35.98</v>
      </c>
      <c r="I13" s="32">
        <f t="shared" si="1"/>
        <v>80.57752627</v>
      </c>
      <c r="J13" s="33">
        <f t="shared" si="2"/>
        <v>9824.693221</v>
      </c>
      <c r="K13" s="34"/>
      <c r="L13" s="32">
        <f t="shared" si="3"/>
        <v>9824.693221</v>
      </c>
    </row>
    <row r="14" ht="24.75" customHeight="1">
      <c r="A14" s="11">
        <v>8.0</v>
      </c>
      <c r="B14" s="30" t="s">
        <v>173</v>
      </c>
      <c r="C14" s="30" t="s">
        <v>91</v>
      </c>
      <c r="D14" s="30" t="s">
        <v>92</v>
      </c>
      <c r="E14" s="100">
        <v>46089.0</v>
      </c>
      <c r="F14" s="31"/>
      <c r="G14" s="33">
        <v>3776.1091550784386</v>
      </c>
      <c r="H14" s="97">
        <v>200.0</v>
      </c>
      <c r="I14" s="33">
        <f t="shared" si="1"/>
        <v>31.34170599</v>
      </c>
      <c r="J14" s="33">
        <f t="shared" si="2"/>
        <v>4007.450861</v>
      </c>
      <c r="K14" s="96"/>
      <c r="L14" s="33">
        <f t="shared" si="3"/>
        <v>4007.450861</v>
      </c>
    </row>
    <row r="15" ht="24.75" customHeight="1">
      <c r="A15" s="11">
        <v>9.0</v>
      </c>
      <c r="B15" s="30" t="s">
        <v>174</v>
      </c>
      <c r="C15" s="30" t="s">
        <v>91</v>
      </c>
      <c r="D15" s="30" t="s">
        <v>94</v>
      </c>
      <c r="E15" s="100">
        <v>46085.0</v>
      </c>
      <c r="F15" s="31"/>
      <c r="G15" s="33">
        <v>4540.211824040949</v>
      </c>
      <c r="H15" s="97">
        <v>20.0</v>
      </c>
      <c r="I15" s="33">
        <f t="shared" si="1"/>
        <v>37.68375814</v>
      </c>
      <c r="J15" s="33">
        <f t="shared" si="2"/>
        <v>4597.895582</v>
      </c>
      <c r="K15" s="30"/>
      <c r="L15" s="33">
        <f t="shared" si="3"/>
        <v>4597.895582</v>
      </c>
    </row>
    <row r="16" ht="24.75" customHeight="1">
      <c r="A16" s="11">
        <v>10.0</v>
      </c>
      <c r="B16" s="30" t="s">
        <v>49</v>
      </c>
      <c r="C16" s="30" t="s">
        <v>91</v>
      </c>
      <c r="D16" s="30" t="s">
        <v>94</v>
      </c>
      <c r="E16" s="100">
        <v>46090.0</v>
      </c>
      <c r="F16" s="31" t="s">
        <v>38</v>
      </c>
      <c r="G16" s="33">
        <v>336.18890110261714</v>
      </c>
      <c r="H16" s="97">
        <v>10.0</v>
      </c>
      <c r="I16" s="33">
        <f t="shared" si="1"/>
        <v>2.790367879</v>
      </c>
      <c r="J16" s="33">
        <f t="shared" si="2"/>
        <v>348.979269</v>
      </c>
      <c r="K16" s="30"/>
      <c r="L16" s="33">
        <f t="shared" si="3"/>
        <v>348.979269</v>
      </c>
    </row>
    <row r="17" ht="24.75" customHeight="1">
      <c r="A17" s="11">
        <v>11.0</v>
      </c>
      <c r="B17" s="30" t="s">
        <v>58</v>
      </c>
      <c r="C17" s="30" t="s">
        <v>93</v>
      </c>
      <c r="D17" s="30" t="s">
        <v>94</v>
      </c>
      <c r="E17" s="100">
        <v>46090.0</v>
      </c>
      <c r="F17" s="31" t="s">
        <v>39</v>
      </c>
      <c r="G17" s="32">
        <v>622.1872728734636</v>
      </c>
      <c r="H17" s="97">
        <v>20.0</v>
      </c>
      <c r="I17" s="33">
        <f t="shared" si="1"/>
        <v>5.164154365</v>
      </c>
      <c r="J17" s="33">
        <f t="shared" si="2"/>
        <v>647.3514272</v>
      </c>
      <c r="K17" s="30"/>
      <c r="L17" s="33">
        <f t="shared" si="3"/>
        <v>647.3514272</v>
      </c>
    </row>
    <row r="18" ht="24.75" customHeight="1">
      <c r="A18" s="11">
        <v>12.0</v>
      </c>
      <c r="B18" s="30" t="s">
        <v>51</v>
      </c>
      <c r="C18" s="30" t="s">
        <v>91</v>
      </c>
      <c r="D18" s="30" t="s">
        <v>94</v>
      </c>
      <c r="E18" s="35"/>
      <c r="F18" s="31" t="s">
        <v>34</v>
      </c>
      <c r="G18" s="32">
        <v>126.88958635552366</v>
      </c>
      <c r="H18" s="53"/>
      <c r="I18" s="33">
        <f t="shared" si="1"/>
        <v>1.053183567</v>
      </c>
      <c r="J18" s="33">
        <f t="shared" si="2"/>
        <v>127.9427699</v>
      </c>
      <c r="K18" s="30"/>
      <c r="L18" s="33">
        <f t="shared" si="3"/>
        <v>127.9427699</v>
      </c>
    </row>
    <row r="19" ht="24.75" customHeight="1">
      <c r="A19" s="11">
        <v>13.0</v>
      </c>
      <c r="B19" s="30" t="s">
        <v>52</v>
      </c>
      <c r="C19" s="30" t="s">
        <v>91</v>
      </c>
      <c r="D19" s="30" t="s">
        <v>94</v>
      </c>
      <c r="E19" s="35"/>
      <c r="F19" s="31" t="s">
        <v>38</v>
      </c>
      <c r="G19" s="32">
        <v>100.44142540895557</v>
      </c>
      <c r="H19" s="53"/>
      <c r="I19" s="33">
        <f t="shared" si="1"/>
        <v>0.8336638309</v>
      </c>
      <c r="J19" s="33">
        <f t="shared" si="2"/>
        <v>101.2750892</v>
      </c>
      <c r="K19" s="30"/>
      <c r="L19" s="33">
        <f t="shared" si="3"/>
        <v>101.2750892</v>
      </c>
    </row>
    <row r="20" ht="27.75" customHeight="1">
      <c r="A20" s="11">
        <v>14.0</v>
      </c>
      <c r="B20" s="30" t="s">
        <v>72</v>
      </c>
      <c r="C20" s="30" t="s">
        <v>91</v>
      </c>
      <c r="D20" s="30" t="s">
        <v>94</v>
      </c>
      <c r="E20" s="35"/>
      <c r="F20" s="31" t="s">
        <v>38</v>
      </c>
      <c r="G20" s="32">
        <v>381.22013997313536</v>
      </c>
      <c r="H20" s="53"/>
      <c r="I20" s="32">
        <f t="shared" si="1"/>
        <v>3.164127162</v>
      </c>
      <c r="J20" s="33">
        <f t="shared" si="2"/>
        <v>384.3842671</v>
      </c>
      <c r="K20" s="34"/>
      <c r="L20" s="32">
        <f t="shared" si="3"/>
        <v>384.3842671</v>
      </c>
    </row>
    <row r="21" ht="24.75" customHeight="1">
      <c r="A21" s="11">
        <v>15.0</v>
      </c>
      <c r="B21" s="34" t="s">
        <v>54</v>
      </c>
      <c r="C21" s="34" t="s">
        <v>91</v>
      </c>
      <c r="D21" s="30" t="s">
        <v>94</v>
      </c>
      <c r="E21" s="35"/>
      <c r="F21" s="35" t="s">
        <v>34</v>
      </c>
      <c r="G21" s="32">
        <v>3167.4754811251264</v>
      </c>
      <c r="H21" s="53"/>
      <c r="I21" s="33">
        <f t="shared" si="1"/>
        <v>26.29004649</v>
      </c>
      <c r="J21" s="33">
        <f t="shared" si="2"/>
        <v>3193.765528</v>
      </c>
      <c r="K21" s="30"/>
      <c r="L21" s="33">
        <f t="shared" si="3"/>
        <v>3193.765528</v>
      </c>
    </row>
    <row r="22" ht="24.75" customHeight="1">
      <c r="A22" s="11">
        <v>16.0</v>
      </c>
      <c r="B22" s="30" t="s">
        <v>55</v>
      </c>
      <c r="C22" s="30" t="s">
        <v>91</v>
      </c>
      <c r="D22" s="30" t="s">
        <v>94</v>
      </c>
      <c r="E22" s="100">
        <v>46096.0</v>
      </c>
      <c r="F22" s="31" t="s">
        <v>33</v>
      </c>
      <c r="G22" s="32">
        <v>990.5799824034282</v>
      </c>
      <c r="H22" s="97">
        <v>50.0</v>
      </c>
      <c r="I22" s="33">
        <f t="shared" si="1"/>
        <v>8.221813854</v>
      </c>
      <c r="J22" s="33">
        <f t="shared" si="2"/>
        <v>1048.801796</v>
      </c>
      <c r="K22" s="30"/>
      <c r="L22" s="33">
        <f t="shared" si="3"/>
        <v>1048.801796</v>
      </c>
    </row>
    <row r="23" ht="24.75" customHeight="1">
      <c r="A23" s="11">
        <v>17.0</v>
      </c>
      <c r="B23" s="30" t="s">
        <v>40</v>
      </c>
      <c r="C23" s="30" t="s">
        <v>91</v>
      </c>
      <c r="D23" s="30" t="s">
        <v>94</v>
      </c>
      <c r="E23" s="100">
        <v>46093.0</v>
      </c>
      <c r="F23" s="31" t="s">
        <v>38</v>
      </c>
      <c r="G23" s="32">
        <v>104.68057750591137</v>
      </c>
      <c r="H23" s="97">
        <v>10.0</v>
      </c>
      <c r="I23" s="32">
        <f t="shared" si="1"/>
        <v>0.8688487933</v>
      </c>
      <c r="J23" s="33">
        <f t="shared" si="2"/>
        <v>115.5494263</v>
      </c>
      <c r="K23" s="34"/>
      <c r="L23" s="32">
        <f t="shared" si="3"/>
        <v>115.5494263</v>
      </c>
    </row>
    <row r="24" ht="24.75" customHeight="1">
      <c r="A24" s="11">
        <v>18.0</v>
      </c>
      <c r="B24" s="30" t="s">
        <v>95</v>
      </c>
      <c r="C24" s="30" t="s">
        <v>93</v>
      </c>
      <c r="D24" s="30" t="s">
        <v>94</v>
      </c>
      <c r="E24" s="35"/>
      <c r="F24" s="31" t="s">
        <v>39</v>
      </c>
      <c r="G24" s="32">
        <v>1206.0484439185282</v>
      </c>
      <c r="H24" s="53"/>
      <c r="I24" s="33">
        <f t="shared" si="1"/>
        <v>10.01020208</v>
      </c>
      <c r="J24" s="33">
        <f t="shared" si="2"/>
        <v>1216.058646</v>
      </c>
      <c r="K24" s="30"/>
      <c r="L24" s="33">
        <f t="shared" si="3"/>
        <v>1216.058646</v>
      </c>
    </row>
    <row r="25" ht="24.75" customHeight="1">
      <c r="A25" s="11">
        <v>19.0</v>
      </c>
      <c r="B25" s="34" t="s">
        <v>97</v>
      </c>
      <c r="C25" s="30" t="s">
        <v>93</v>
      </c>
      <c r="D25" s="30" t="s">
        <v>94</v>
      </c>
      <c r="E25" s="35"/>
      <c r="F25" s="31" t="s">
        <v>34</v>
      </c>
      <c r="G25" s="32">
        <v>94.09388297947608</v>
      </c>
      <c r="H25" s="53"/>
      <c r="I25" s="32">
        <f t="shared" si="1"/>
        <v>0.7809792287</v>
      </c>
      <c r="J25" s="33">
        <f t="shared" si="2"/>
        <v>94.87486221</v>
      </c>
      <c r="K25" s="34"/>
      <c r="L25" s="32">
        <f t="shared" si="3"/>
        <v>94.87486221</v>
      </c>
    </row>
    <row r="26" ht="24.75" customHeight="1">
      <c r="A26" s="11">
        <v>20.0</v>
      </c>
      <c r="B26" s="34" t="s">
        <v>98</v>
      </c>
      <c r="C26" s="34" t="s">
        <v>93</v>
      </c>
      <c r="D26" s="30" t="s">
        <v>94</v>
      </c>
      <c r="E26" s="100">
        <v>46083.0</v>
      </c>
      <c r="F26" s="35" t="s">
        <v>38</v>
      </c>
      <c r="G26" s="32">
        <v>138.11675607327987</v>
      </c>
      <c r="H26" s="97">
        <v>15.0</v>
      </c>
      <c r="I26" s="33">
        <f t="shared" si="1"/>
        <v>1.146369075</v>
      </c>
      <c r="J26" s="33">
        <f t="shared" si="2"/>
        <v>154.2631251</v>
      </c>
      <c r="K26" s="30"/>
      <c r="L26" s="33">
        <f t="shared" si="3"/>
        <v>154.2631251</v>
      </c>
    </row>
    <row r="27" ht="24.75" customHeight="1">
      <c r="A27" s="11">
        <v>21.0</v>
      </c>
      <c r="B27" s="30" t="s">
        <v>61</v>
      </c>
      <c r="C27" s="30" t="s">
        <v>91</v>
      </c>
      <c r="D27" s="30" t="s">
        <v>94</v>
      </c>
      <c r="E27" s="35"/>
      <c r="F27" s="31" t="s">
        <v>38</v>
      </c>
      <c r="G27" s="32">
        <v>162.60876664540967</v>
      </c>
      <c r="H27" s="53"/>
      <c r="I27" s="33">
        <f t="shared" si="1"/>
        <v>1.349652763</v>
      </c>
      <c r="J27" s="33">
        <f t="shared" si="2"/>
        <v>163.9584194</v>
      </c>
      <c r="K27" s="30"/>
      <c r="L27" s="33">
        <f t="shared" si="3"/>
        <v>163.9584194</v>
      </c>
    </row>
    <row r="28" ht="24.75" customHeight="1">
      <c r="A28" s="11">
        <v>22.0</v>
      </c>
      <c r="B28" s="30" t="s">
        <v>63</v>
      </c>
      <c r="C28" s="30" t="s">
        <v>91</v>
      </c>
      <c r="D28" s="30" t="s">
        <v>94</v>
      </c>
      <c r="E28" s="35"/>
      <c r="F28" s="31" t="s">
        <v>39</v>
      </c>
      <c r="G28" s="32">
        <v>1391.3942693999225</v>
      </c>
      <c r="H28" s="53"/>
      <c r="I28" s="33">
        <f t="shared" si="1"/>
        <v>11.54857244</v>
      </c>
      <c r="J28" s="33">
        <f t="shared" si="2"/>
        <v>1402.942842</v>
      </c>
      <c r="K28" s="30"/>
      <c r="L28" s="33">
        <f t="shared" si="3"/>
        <v>1402.942842</v>
      </c>
    </row>
    <row r="29" ht="24.75" customHeight="1">
      <c r="A29" s="11">
        <v>23.0</v>
      </c>
      <c r="B29" s="34" t="s">
        <v>64</v>
      </c>
      <c r="C29" s="30" t="s">
        <v>91</v>
      </c>
      <c r="D29" s="30" t="s">
        <v>94</v>
      </c>
      <c r="E29" s="35"/>
      <c r="F29" s="31" t="s">
        <v>40</v>
      </c>
      <c r="G29" s="32">
        <v>766.616900998429</v>
      </c>
      <c r="H29" s="53"/>
      <c r="I29" s="33">
        <f t="shared" si="1"/>
        <v>6.362920278</v>
      </c>
      <c r="J29" s="33">
        <f t="shared" si="2"/>
        <v>772.9798213</v>
      </c>
      <c r="K29" s="30"/>
      <c r="L29" s="33">
        <f t="shared" si="3"/>
        <v>772.9798213</v>
      </c>
    </row>
    <row r="30" ht="24.75" customHeight="1">
      <c r="A30" s="11">
        <v>24.0</v>
      </c>
      <c r="B30" s="30" t="s">
        <v>65</v>
      </c>
      <c r="C30" s="30" t="s">
        <v>91</v>
      </c>
      <c r="D30" s="30" t="s">
        <v>94</v>
      </c>
      <c r="E30" s="35"/>
      <c r="F30" s="31" t="s">
        <v>39</v>
      </c>
      <c r="G30" s="32">
        <v>50.360101323698956</v>
      </c>
      <c r="H30" s="53"/>
      <c r="I30" s="33">
        <f t="shared" si="1"/>
        <v>0.417988841</v>
      </c>
      <c r="J30" s="33">
        <f t="shared" si="2"/>
        <v>50.77809016</v>
      </c>
      <c r="K30" s="30"/>
      <c r="L30" s="33">
        <f t="shared" si="3"/>
        <v>50.77809016</v>
      </c>
    </row>
    <row r="31" ht="24.75" customHeight="1">
      <c r="A31" s="11">
        <v>25.0</v>
      </c>
      <c r="B31" s="30" t="s">
        <v>66</v>
      </c>
      <c r="C31" s="30" t="s">
        <v>91</v>
      </c>
      <c r="D31" s="30" t="s">
        <v>94</v>
      </c>
      <c r="E31" s="35"/>
      <c r="F31" s="31" t="s">
        <v>33</v>
      </c>
      <c r="G31" s="32">
        <v>77.2203682492106</v>
      </c>
      <c r="H31" s="53"/>
      <c r="I31" s="33">
        <f t="shared" si="1"/>
        <v>0.6409290565</v>
      </c>
      <c r="J31" s="33">
        <f t="shared" si="2"/>
        <v>77.86129731</v>
      </c>
      <c r="K31" s="30"/>
      <c r="L31" s="33">
        <f t="shared" si="3"/>
        <v>77.86129731</v>
      </c>
    </row>
    <row r="32" ht="24.75" customHeight="1">
      <c r="A32" s="11">
        <v>26.0</v>
      </c>
      <c r="B32" s="30" t="s">
        <v>99</v>
      </c>
      <c r="C32" s="30" t="s">
        <v>91</v>
      </c>
      <c r="D32" s="30" t="s">
        <v>94</v>
      </c>
      <c r="E32" s="35"/>
      <c r="F32" s="31" t="s">
        <v>38</v>
      </c>
      <c r="G32" s="32">
        <v>260.5527319600366</v>
      </c>
      <c r="H32" s="53"/>
      <c r="I32" s="33">
        <f t="shared" si="1"/>
        <v>2.162587675</v>
      </c>
      <c r="J32" s="33">
        <f t="shared" si="2"/>
        <v>262.7153196</v>
      </c>
      <c r="K32" s="30"/>
      <c r="L32" s="33">
        <f t="shared" si="3"/>
        <v>262.7153196</v>
      </c>
    </row>
    <row r="33" ht="24.75" customHeight="1">
      <c r="A33" s="11">
        <v>27.0</v>
      </c>
      <c r="B33" s="30" t="s">
        <v>101</v>
      </c>
      <c r="C33" s="30" t="s">
        <v>93</v>
      </c>
      <c r="D33" s="30" t="s">
        <v>94</v>
      </c>
      <c r="E33" s="35"/>
      <c r="F33" s="31"/>
      <c r="G33" s="32">
        <v>2192.7487552698813</v>
      </c>
      <c r="H33" s="53"/>
      <c r="I33" s="33">
        <f t="shared" si="1"/>
        <v>18.19981467</v>
      </c>
      <c r="J33" s="33">
        <f t="shared" si="2"/>
        <v>2210.94857</v>
      </c>
      <c r="K33" s="30"/>
      <c r="L33" s="33">
        <f t="shared" si="3"/>
        <v>2210.94857</v>
      </c>
    </row>
    <row r="34" ht="30.0" customHeight="1">
      <c r="A34" s="11">
        <v>28.0</v>
      </c>
      <c r="B34" s="30" t="s">
        <v>102</v>
      </c>
      <c r="C34" s="30"/>
      <c r="D34" s="30" t="s">
        <v>94</v>
      </c>
      <c r="E34" s="35"/>
      <c r="F34" s="31"/>
      <c r="G34" s="32">
        <v>18.803325777691484</v>
      </c>
      <c r="H34" s="53"/>
      <c r="I34" s="33">
        <f t="shared" si="1"/>
        <v>0.156067604</v>
      </c>
      <c r="J34" s="33">
        <f t="shared" si="2"/>
        <v>18.95939338</v>
      </c>
      <c r="K34" s="30"/>
      <c r="L34" s="33">
        <f t="shared" si="3"/>
        <v>18.95939338</v>
      </c>
    </row>
    <row r="35" ht="30.0" customHeight="1">
      <c r="A35" s="11">
        <v>29.0</v>
      </c>
      <c r="B35" s="30" t="s">
        <v>104</v>
      </c>
      <c r="C35" s="30" t="s">
        <v>93</v>
      </c>
      <c r="D35" s="30" t="s">
        <v>94</v>
      </c>
      <c r="E35" s="35"/>
      <c r="F35" s="31"/>
      <c r="G35" s="32">
        <v>487.4368545238898</v>
      </c>
      <c r="H35" s="53"/>
      <c r="I35" s="33">
        <f t="shared" si="1"/>
        <v>4.045725893</v>
      </c>
      <c r="J35" s="33">
        <f t="shared" si="2"/>
        <v>491.4825804</v>
      </c>
      <c r="K35" s="30"/>
      <c r="L35" s="33">
        <f t="shared" si="3"/>
        <v>491.4825804</v>
      </c>
    </row>
    <row r="36" ht="30.0" customHeight="1">
      <c r="A36" s="11">
        <v>30.0</v>
      </c>
      <c r="B36" s="30" t="s">
        <v>190</v>
      </c>
      <c r="C36" s="34"/>
      <c r="D36" s="34" t="s">
        <v>94</v>
      </c>
      <c r="E36" s="100">
        <v>46090.0</v>
      </c>
      <c r="F36" s="35"/>
      <c r="G36" s="32">
        <v>507.949883839423</v>
      </c>
      <c r="H36" s="97">
        <v>20.0</v>
      </c>
      <c r="I36" s="32">
        <f t="shared" si="1"/>
        <v>4.215984036</v>
      </c>
      <c r="J36" s="32">
        <f t="shared" si="2"/>
        <v>532.1658679</v>
      </c>
      <c r="K36" s="34"/>
      <c r="L36" s="32">
        <f t="shared" si="3"/>
        <v>532.1658679</v>
      </c>
    </row>
    <row r="37" ht="30.0" customHeight="1">
      <c r="A37" s="11">
        <v>31.0</v>
      </c>
      <c r="B37" s="34" t="s">
        <v>175</v>
      </c>
      <c r="C37" s="34" t="s">
        <v>93</v>
      </c>
      <c r="D37" s="34" t="s">
        <v>94</v>
      </c>
      <c r="E37" s="100">
        <v>46084.0</v>
      </c>
      <c r="F37" s="35"/>
      <c r="G37" s="32">
        <v>1205.7203011612223</v>
      </c>
      <c r="H37" s="97">
        <v>100.0</v>
      </c>
      <c r="I37" s="32">
        <f t="shared" si="1"/>
        <v>10.0074785</v>
      </c>
      <c r="J37" s="32">
        <f t="shared" si="2"/>
        <v>1315.72778</v>
      </c>
      <c r="K37" s="34"/>
      <c r="L37" s="32">
        <f t="shared" si="3"/>
        <v>1315.72778</v>
      </c>
    </row>
    <row r="38" ht="30.0" customHeight="1">
      <c r="A38" s="11">
        <v>32.0</v>
      </c>
      <c r="B38" s="34" t="s">
        <v>108</v>
      </c>
      <c r="C38" s="34"/>
      <c r="D38" s="34" t="s">
        <v>94</v>
      </c>
      <c r="E38" s="35"/>
      <c r="F38" s="35"/>
      <c r="G38" s="32">
        <v>67.89053372401165</v>
      </c>
      <c r="H38" s="53"/>
      <c r="I38" s="32">
        <f t="shared" si="1"/>
        <v>0.5634914299</v>
      </c>
      <c r="J38" s="33">
        <f t="shared" si="2"/>
        <v>68.45402515</v>
      </c>
      <c r="K38" s="34"/>
      <c r="L38" s="32">
        <f t="shared" si="3"/>
        <v>68.45402515</v>
      </c>
    </row>
    <row r="39" ht="30.0" customHeight="1">
      <c r="A39" s="11">
        <v>33.0</v>
      </c>
      <c r="B39" s="34" t="s">
        <v>111</v>
      </c>
      <c r="C39" s="34"/>
      <c r="D39" s="34" t="s">
        <v>94</v>
      </c>
      <c r="E39" s="35"/>
      <c r="F39" s="35"/>
      <c r="G39" s="32">
        <v>73.13036690543368</v>
      </c>
      <c r="H39" s="53"/>
      <c r="I39" s="32">
        <f t="shared" si="1"/>
        <v>0.6069820453</v>
      </c>
      <c r="J39" s="33">
        <f t="shared" si="2"/>
        <v>73.73734895</v>
      </c>
      <c r="K39" s="34"/>
      <c r="L39" s="32">
        <f t="shared" si="3"/>
        <v>73.73734895</v>
      </c>
    </row>
    <row r="40" ht="30.0" customHeight="1">
      <c r="A40" s="11">
        <v>34.0</v>
      </c>
      <c r="B40" s="34" t="s">
        <v>112</v>
      </c>
      <c r="C40" s="34"/>
      <c r="D40" s="34" t="s">
        <v>94</v>
      </c>
      <c r="E40" s="35"/>
      <c r="F40" s="35"/>
      <c r="G40" s="32">
        <v>25.104541984233805</v>
      </c>
      <c r="H40" s="53"/>
      <c r="I40" s="32">
        <f t="shared" si="1"/>
        <v>0.2083676985</v>
      </c>
      <c r="J40" s="33">
        <f t="shared" si="2"/>
        <v>25.31290968</v>
      </c>
      <c r="K40" s="34"/>
      <c r="L40" s="32">
        <f t="shared" si="3"/>
        <v>25.31290968</v>
      </c>
    </row>
    <row r="41" ht="30.0" customHeight="1">
      <c r="A41" s="11">
        <v>35.0</v>
      </c>
      <c r="B41" s="34" t="s">
        <v>116</v>
      </c>
      <c r="C41" s="34"/>
      <c r="D41" s="34" t="s">
        <v>94</v>
      </c>
      <c r="E41" s="35"/>
      <c r="F41" s="35"/>
      <c r="G41" s="32">
        <v>12.295442969186755</v>
      </c>
      <c r="H41" s="53"/>
      <c r="I41" s="32">
        <f t="shared" si="1"/>
        <v>0.1020521766</v>
      </c>
      <c r="J41" s="33">
        <f t="shared" si="2"/>
        <v>12.39749515</v>
      </c>
      <c r="K41" s="34"/>
      <c r="L41" s="32">
        <f t="shared" si="3"/>
        <v>12.39749515</v>
      </c>
    </row>
    <row r="42" ht="30.0" customHeight="1">
      <c r="A42" s="11">
        <v>36.0</v>
      </c>
      <c r="B42" s="30" t="s">
        <v>118</v>
      </c>
      <c r="C42" s="30"/>
      <c r="D42" s="30" t="s">
        <v>94</v>
      </c>
      <c r="E42" s="35"/>
      <c r="F42" s="31"/>
      <c r="G42" s="32">
        <v>24.59088593837351</v>
      </c>
      <c r="H42" s="53"/>
      <c r="I42" s="33">
        <f t="shared" si="1"/>
        <v>0.2041043533</v>
      </c>
      <c r="J42" s="33">
        <f t="shared" si="2"/>
        <v>24.79499029</v>
      </c>
      <c r="K42" s="30"/>
      <c r="L42" s="33">
        <f t="shared" si="3"/>
        <v>24.79499029</v>
      </c>
    </row>
    <row r="43" ht="30.0" customHeight="1">
      <c r="A43" s="11">
        <v>37.0</v>
      </c>
      <c r="B43" s="30" t="s">
        <v>176</v>
      </c>
      <c r="C43" s="34" t="s">
        <v>93</v>
      </c>
      <c r="D43" s="34" t="s">
        <v>94</v>
      </c>
      <c r="E43" s="35"/>
      <c r="F43" s="35"/>
      <c r="G43" s="32">
        <v>267.34441074143245</v>
      </c>
      <c r="H43" s="53"/>
      <c r="I43" s="32">
        <f t="shared" si="1"/>
        <v>2.218958609</v>
      </c>
      <c r="J43" s="32">
        <f t="shared" si="2"/>
        <v>269.5633694</v>
      </c>
      <c r="K43" s="34"/>
      <c r="L43" s="32">
        <f t="shared" si="3"/>
        <v>269.5633694</v>
      </c>
    </row>
    <row r="44" ht="30.0" customHeight="1">
      <c r="A44" s="11">
        <v>38.0</v>
      </c>
      <c r="B44" s="30" t="s">
        <v>121</v>
      </c>
      <c r="C44" s="30"/>
      <c r="D44" s="30" t="s">
        <v>94</v>
      </c>
      <c r="E44" s="35"/>
      <c r="F44" s="31"/>
      <c r="G44" s="32">
        <v>12.194230853105976</v>
      </c>
      <c r="H44" s="53"/>
      <c r="I44" s="33">
        <f t="shared" si="1"/>
        <v>0.1012121161</v>
      </c>
      <c r="J44" s="33">
        <f t="shared" si="2"/>
        <v>12.29544297</v>
      </c>
      <c r="K44" s="30"/>
      <c r="L44" s="33">
        <f t="shared" si="3"/>
        <v>12.29544297</v>
      </c>
    </row>
    <row r="45" ht="30.0" customHeight="1">
      <c r="A45" s="11">
        <v>39.0</v>
      </c>
      <c r="B45" s="34" t="s">
        <v>161</v>
      </c>
      <c r="C45" s="34" t="s">
        <v>93</v>
      </c>
      <c r="D45" s="34" t="s">
        <v>94</v>
      </c>
      <c r="E45" s="35"/>
      <c r="F45" s="35"/>
      <c r="G45" s="101">
        <v>114.09745374577561</v>
      </c>
      <c r="H45" s="53"/>
      <c r="I45" s="32">
        <f t="shared" si="1"/>
        <v>0.9470088661</v>
      </c>
      <c r="J45" s="32">
        <f t="shared" si="2"/>
        <v>115.0444626</v>
      </c>
      <c r="K45" s="12"/>
      <c r="L45" s="32">
        <f t="shared" si="3"/>
        <v>115.0444626</v>
      </c>
    </row>
    <row r="46" ht="30.0" customHeight="1">
      <c r="A46" s="11">
        <v>40.0</v>
      </c>
      <c r="B46" s="54" t="s">
        <v>126</v>
      </c>
      <c r="C46" s="13" t="s">
        <v>91</v>
      </c>
      <c r="D46" s="30" t="s">
        <v>94</v>
      </c>
      <c r="E46" s="31"/>
      <c r="F46" s="14"/>
      <c r="G46" s="59">
        <v>394.33689100201104</v>
      </c>
      <c r="H46" s="53"/>
      <c r="I46" s="33">
        <f t="shared" si="1"/>
        <v>3.272996195</v>
      </c>
      <c r="J46" s="33">
        <f t="shared" si="2"/>
        <v>397.6098872</v>
      </c>
      <c r="K46" s="13"/>
      <c r="L46" s="33">
        <f t="shared" si="3"/>
        <v>397.6098872</v>
      </c>
    </row>
    <row r="47" ht="30.0" customHeight="1">
      <c r="A47" s="11">
        <v>41.0</v>
      </c>
      <c r="B47" s="13" t="s">
        <v>127</v>
      </c>
      <c r="C47" s="13"/>
      <c r="D47" s="30" t="s">
        <v>94</v>
      </c>
      <c r="E47" s="35"/>
      <c r="F47" s="14"/>
      <c r="G47" s="59">
        <v>47.97883576759813</v>
      </c>
      <c r="H47" s="53"/>
      <c r="I47" s="33">
        <f t="shared" si="1"/>
        <v>0.3982243369</v>
      </c>
      <c r="J47" s="33">
        <f t="shared" si="2"/>
        <v>48.3770601</v>
      </c>
      <c r="K47" s="13"/>
      <c r="L47" s="33">
        <f t="shared" si="3"/>
        <v>48.3770601</v>
      </c>
    </row>
    <row r="48" ht="30.0" customHeight="1">
      <c r="A48" s="11">
        <v>42.0</v>
      </c>
      <c r="B48" s="13" t="s">
        <v>128</v>
      </c>
      <c r="C48" s="13"/>
      <c r="D48" s="30" t="s">
        <v>94</v>
      </c>
      <c r="E48" s="100">
        <v>46089.0</v>
      </c>
      <c r="F48" s="14"/>
      <c r="G48" s="59">
        <v>254.3651630248169</v>
      </c>
      <c r="H48" s="97">
        <v>10.0</v>
      </c>
      <c r="I48" s="33">
        <f t="shared" si="1"/>
        <v>2.111230853</v>
      </c>
      <c r="J48" s="33">
        <f t="shared" si="2"/>
        <v>266.4763939</v>
      </c>
      <c r="K48" s="13"/>
      <c r="L48" s="33">
        <f t="shared" si="3"/>
        <v>266.4763939</v>
      </c>
    </row>
    <row r="49" ht="30.0" customHeight="1">
      <c r="A49" s="11">
        <v>43.0</v>
      </c>
      <c r="B49" s="13" t="s">
        <v>177</v>
      </c>
      <c r="C49" s="13" t="s">
        <v>91</v>
      </c>
      <c r="D49" s="30" t="s">
        <v>94</v>
      </c>
      <c r="E49" s="100">
        <v>46091.0</v>
      </c>
      <c r="F49" s="14" t="s">
        <v>101</v>
      </c>
      <c r="G49" s="59">
        <v>1398.2380946928615</v>
      </c>
      <c r="H49" s="97">
        <v>10.0</v>
      </c>
      <c r="I49" s="33">
        <f t="shared" si="1"/>
        <v>11.60537619</v>
      </c>
      <c r="J49" s="33">
        <f t="shared" si="2"/>
        <v>1419.843471</v>
      </c>
      <c r="K49" s="13"/>
      <c r="L49" s="33">
        <f t="shared" si="3"/>
        <v>1419.843471</v>
      </c>
    </row>
    <row r="50" ht="30.0" customHeight="1">
      <c r="A50" s="11">
        <v>44.0</v>
      </c>
      <c r="B50" s="13" t="s">
        <v>132</v>
      </c>
      <c r="C50" s="13"/>
      <c r="D50" s="30" t="s">
        <v>94</v>
      </c>
      <c r="E50" s="35"/>
      <c r="F50" s="14"/>
      <c r="G50" s="59">
        <v>17.892715600881985</v>
      </c>
      <c r="H50" s="53"/>
      <c r="I50" s="33">
        <f t="shared" si="1"/>
        <v>0.1485095395</v>
      </c>
      <c r="J50" s="33">
        <f t="shared" si="2"/>
        <v>18.04122514</v>
      </c>
      <c r="K50" s="13"/>
      <c r="L50" s="33">
        <f t="shared" si="3"/>
        <v>18.04122514</v>
      </c>
    </row>
    <row r="51" ht="27.0" customHeight="1">
      <c r="A51" s="11">
        <v>45.0</v>
      </c>
      <c r="B51" s="13" t="s">
        <v>133</v>
      </c>
      <c r="C51" s="13" t="s">
        <v>93</v>
      </c>
      <c r="D51" s="30" t="s">
        <v>94</v>
      </c>
      <c r="E51" s="100">
        <v>46091.0</v>
      </c>
      <c r="F51" s="14"/>
      <c r="G51" s="59">
        <v>853.1215352174681</v>
      </c>
      <c r="H51" s="97">
        <v>20.0</v>
      </c>
      <c r="I51" s="33">
        <f t="shared" si="1"/>
        <v>7.080908742</v>
      </c>
      <c r="J51" s="33">
        <f t="shared" si="2"/>
        <v>880.202444</v>
      </c>
      <c r="K51" s="13"/>
      <c r="L51" s="33">
        <f t="shared" si="3"/>
        <v>880.202444</v>
      </c>
    </row>
    <row r="52" ht="30.0" customHeight="1">
      <c r="A52" s="11">
        <v>46.0</v>
      </c>
      <c r="B52" s="30" t="s">
        <v>134</v>
      </c>
      <c r="C52" s="13"/>
      <c r="D52" s="30" t="s">
        <v>94</v>
      </c>
      <c r="E52" s="35"/>
      <c r="F52" s="14" t="s">
        <v>131</v>
      </c>
      <c r="G52" s="59">
        <v>23.889865200446295</v>
      </c>
      <c r="H52" s="53"/>
      <c r="I52" s="33">
        <f t="shared" si="1"/>
        <v>0.1982858812</v>
      </c>
      <c r="J52" s="33">
        <f t="shared" si="2"/>
        <v>24.08815108</v>
      </c>
      <c r="K52" s="13"/>
      <c r="L52" s="33">
        <f t="shared" si="3"/>
        <v>24.08815108</v>
      </c>
    </row>
    <row r="53" ht="30.0" customHeight="1">
      <c r="A53" s="11">
        <v>47.0</v>
      </c>
      <c r="B53" s="30" t="s">
        <v>178</v>
      </c>
      <c r="C53" s="13"/>
      <c r="D53" s="30" t="s">
        <v>94</v>
      </c>
      <c r="E53" s="100">
        <v>46093.0</v>
      </c>
      <c r="F53" s="14" t="s">
        <v>131</v>
      </c>
      <c r="G53" s="59">
        <v>497.2234659976084</v>
      </c>
      <c r="H53" s="97">
        <v>40.0</v>
      </c>
      <c r="I53" s="33">
        <f t="shared" si="1"/>
        <v>4.126954768</v>
      </c>
      <c r="J53" s="33">
        <f t="shared" si="2"/>
        <v>541.3504208</v>
      </c>
      <c r="K53" s="13"/>
      <c r="L53" s="33">
        <f t="shared" si="3"/>
        <v>541.3504208</v>
      </c>
    </row>
    <row r="54" ht="30.0" customHeight="1">
      <c r="A54" s="11">
        <v>48.0</v>
      </c>
      <c r="B54" s="13" t="s">
        <v>136</v>
      </c>
      <c r="C54" s="13"/>
      <c r="D54" s="30" t="s">
        <v>94</v>
      </c>
      <c r="E54" s="35"/>
      <c r="F54" s="14" t="s">
        <v>131</v>
      </c>
      <c r="G54" s="59">
        <v>23.889865200446295</v>
      </c>
      <c r="H54" s="53"/>
      <c r="I54" s="33">
        <f t="shared" si="1"/>
        <v>0.1982858812</v>
      </c>
      <c r="J54" s="33">
        <f t="shared" si="2"/>
        <v>24.08815108</v>
      </c>
      <c r="K54" s="13"/>
      <c r="L54" s="33">
        <f t="shared" si="3"/>
        <v>24.08815108</v>
      </c>
    </row>
    <row r="55" ht="30.0" customHeight="1">
      <c r="A55" s="11">
        <v>49.0</v>
      </c>
      <c r="B55" s="13" t="s">
        <v>138</v>
      </c>
      <c r="C55" s="13"/>
      <c r="D55" s="30" t="s">
        <v>94</v>
      </c>
      <c r="E55" s="35"/>
      <c r="F55" s="14"/>
      <c r="G55" s="59">
        <v>11.895566001317677</v>
      </c>
      <c r="H55" s="53"/>
      <c r="I55" s="33">
        <f t="shared" si="1"/>
        <v>0.09873319781</v>
      </c>
      <c r="J55" s="33">
        <f t="shared" si="2"/>
        <v>11.9942992</v>
      </c>
      <c r="K55" s="13"/>
      <c r="L55" s="33">
        <f t="shared" si="3"/>
        <v>11.9942992</v>
      </c>
    </row>
    <row r="56" ht="30.0" customHeight="1">
      <c r="A56" s="11">
        <v>50.0</v>
      </c>
      <c r="B56" s="13" t="s">
        <v>142</v>
      </c>
      <c r="C56" s="13" t="s">
        <v>93</v>
      </c>
      <c r="D56" s="30" t="s">
        <v>94</v>
      </c>
      <c r="E56" s="100">
        <v>46094.0</v>
      </c>
      <c r="F56" s="14"/>
      <c r="G56" s="59">
        <v>179.04163098683972</v>
      </c>
      <c r="H56" s="97">
        <v>0.15</v>
      </c>
      <c r="I56" s="33">
        <f t="shared" si="1"/>
        <v>1.486045537</v>
      </c>
      <c r="J56" s="33">
        <f t="shared" si="2"/>
        <v>180.6776765</v>
      </c>
      <c r="K56" s="13"/>
      <c r="L56" s="33">
        <f t="shared" si="3"/>
        <v>180.6776765</v>
      </c>
    </row>
    <row r="57" ht="30.0" customHeight="1">
      <c r="A57" s="11">
        <v>51.0</v>
      </c>
      <c r="B57" s="13" t="s">
        <v>153</v>
      </c>
      <c r="C57" s="13" t="s">
        <v>93</v>
      </c>
      <c r="D57" s="30" t="s">
        <v>94</v>
      </c>
      <c r="E57" s="100">
        <v>46091.0</v>
      </c>
      <c r="F57" s="14"/>
      <c r="G57" s="59">
        <v>778.9744019123415</v>
      </c>
      <c r="H57" s="97">
        <v>25.0</v>
      </c>
      <c r="I57" s="33">
        <f t="shared" si="1"/>
        <v>6.465487536</v>
      </c>
      <c r="J57" s="33">
        <f t="shared" si="2"/>
        <v>810.4398894</v>
      </c>
      <c r="K57" s="13"/>
      <c r="L57" s="33">
        <f t="shared" si="3"/>
        <v>810.4398894</v>
      </c>
    </row>
    <row r="58" ht="30.0" customHeight="1">
      <c r="A58" s="11">
        <v>52.0</v>
      </c>
      <c r="B58" s="13" t="s">
        <v>154</v>
      </c>
      <c r="C58" s="13"/>
      <c r="D58" s="30" t="s">
        <v>94</v>
      </c>
      <c r="E58" s="35"/>
      <c r="F58" s="14"/>
      <c r="G58" s="59">
        <v>459.0939339189526</v>
      </c>
      <c r="H58" s="53"/>
      <c r="I58" s="33">
        <f t="shared" si="1"/>
        <v>3.810479652</v>
      </c>
      <c r="J58" s="33">
        <f t="shared" si="2"/>
        <v>462.9044136</v>
      </c>
      <c r="K58" s="13"/>
      <c r="L58" s="33">
        <f t="shared" si="3"/>
        <v>462.9044136</v>
      </c>
    </row>
    <row r="59" ht="30.0" customHeight="1">
      <c r="A59" s="11">
        <v>53.0</v>
      </c>
      <c r="B59" s="13" t="s">
        <v>155</v>
      </c>
      <c r="C59" s="13"/>
      <c r="D59" s="30" t="s">
        <v>94</v>
      </c>
      <c r="E59" s="100">
        <v>46080.0</v>
      </c>
      <c r="F59" s="14"/>
      <c r="G59" s="59">
        <v>307.995690834268</v>
      </c>
      <c r="H59" s="97">
        <v>30.0</v>
      </c>
      <c r="I59" s="33">
        <f t="shared" si="1"/>
        <v>2.556364234</v>
      </c>
      <c r="J59" s="33">
        <f t="shared" si="2"/>
        <v>340.5520551</v>
      </c>
      <c r="K59" s="13"/>
      <c r="L59" s="33">
        <f t="shared" si="3"/>
        <v>340.5520551</v>
      </c>
    </row>
    <row r="60" ht="30.0" customHeight="1">
      <c r="A60" s="11">
        <v>54.0</v>
      </c>
      <c r="B60" s="13" t="s">
        <v>162</v>
      </c>
      <c r="C60" s="13"/>
      <c r="D60" s="30" t="s">
        <v>94</v>
      </c>
      <c r="E60" s="100">
        <v>46085.0</v>
      </c>
      <c r="F60" s="14"/>
      <c r="G60" s="59">
        <v>299.9690483766158</v>
      </c>
      <c r="H60" s="97">
        <v>30.0</v>
      </c>
      <c r="I60" s="33">
        <f t="shared" si="1"/>
        <v>2.489743102</v>
      </c>
      <c r="J60" s="33">
        <f t="shared" si="2"/>
        <v>332.4587915</v>
      </c>
      <c r="K60" s="13"/>
      <c r="L60" s="33">
        <f t="shared" si="3"/>
        <v>332.4587915</v>
      </c>
    </row>
    <row r="61" ht="30.0" customHeight="1">
      <c r="A61" s="11">
        <v>55.0</v>
      </c>
      <c r="B61" s="13" t="s">
        <v>157</v>
      </c>
      <c r="C61" s="13"/>
      <c r="D61" s="30" t="s">
        <v>94</v>
      </c>
      <c r="E61" s="35"/>
      <c r="F61" s="14"/>
      <c r="G61" s="59">
        <v>27.247374640352273</v>
      </c>
      <c r="H61" s="53"/>
      <c r="I61" s="16">
        <f t="shared" si="1"/>
        <v>0.2261532095</v>
      </c>
      <c r="J61" s="33">
        <f t="shared" si="2"/>
        <v>27.47352785</v>
      </c>
      <c r="K61" s="13"/>
      <c r="L61" s="33">
        <f t="shared" si="3"/>
        <v>27.47352785</v>
      </c>
    </row>
    <row r="62" ht="30.0" customHeight="1">
      <c r="A62" s="11">
        <v>56.0</v>
      </c>
      <c r="B62" s="12" t="s">
        <v>179</v>
      </c>
      <c r="C62" s="12"/>
      <c r="D62" s="34" t="s">
        <v>94</v>
      </c>
      <c r="E62" s="100">
        <v>46084.0</v>
      </c>
      <c r="F62" s="22"/>
      <c r="G62" s="59">
        <v>987.449972851577</v>
      </c>
      <c r="H62" s="97">
        <v>150.0</v>
      </c>
      <c r="I62" s="15">
        <f t="shared" si="1"/>
        <v>8.195834775</v>
      </c>
      <c r="J62" s="32">
        <f t="shared" si="2"/>
        <v>1145.645808</v>
      </c>
      <c r="K62" s="12"/>
      <c r="L62" s="32">
        <f t="shared" si="3"/>
        <v>1145.645808</v>
      </c>
    </row>
    <row r="63" ht="30.0" customHeight="1">
      <c r="A63" s="11">
        <v>57.0</v>
      </c>
      <c r="B63" s="13" t="s">
        <v>160</v>
      </c>
      <c r="C63" s="13"/>
      <c r="D63" s="30" t="s">
        <v>94</v>
      </c>
      <c r="E63" s="100">
        <v>46087.0</v>
      </c>
      <c r="F63" s="14"/>
      <c r="G63" s="59">
        <v>62.85919781911172</v>
      </c>
      <c r="H63" s="97">
        <v>5.0</v>
      </c>
      <c r="I63" s="16">
        <f t="shared" si="1"/>
        <v>0.5217313419</v>
      </c>
      <c r="J63" s="33">
        <f t="shared" si="2"/>
        <v>68.38092916</v>
      </c>
      <c r="K63" s="13"/>
      <c r="L63" s="33">
        <f t="shared" si="3"/>
        <v>68.38092916</v>
      </c>
    </row>
    <row r="64" ht="30.0" customHeight="1">
      <c r="A64" s="11">
        <v>58.0</v>
      </c>
      <c r="B64" s="13" t="s">
        <v>164</v>
      </c>
      <c r="C64" s="13"/>
      <c r="D64" s="30" t="s">
        <v>94</v>
      </c>
      <c r="E64" s="100">
        <v>46086.0</v>
      </c>
      <c r="F64" s="14"/>
      <c r="G64" s="59">
        <v>491.27015501182274</v>
      </c>
      <c r="H64" s="97">
        <v>50.0</v>
      </c>
      <c r="I64" s="16">
        <f t="shared" si="1"/>
        <v>4.077542287</v>
      </c>
      <c r="J64" s="33">
        <f t="shared" si="2"/>
        <v>545.3476973</v>
      </c>
      <c r="K64" s="13"/>
      <c r="L64" s="33">
        <f t="shared" si="3"/>
        <v>545.3476973</v>
      </c>
    </row>
    <row r="65" ht="30.0" customHeight="1">
      <c r="A65" s="11">
        <v>59.0</v>
      </c>
      <c r="B65" s="13" t="s">
        <v>180</v>
      </c>
      <c r="C65" s="13" t="s">
        <v>93</v>
      </c>
      <c r="D65" s="30" t="s">
        <v>94</v>
      </c>
      <c r="E65" s="100">
        <v>46082.0</v>
      </c>
      <c r="F65" s="14"/>
      <c r="G65" s="59">
        <v>297.3450018727498</v>
      </c>
      <c r="H65" s="97">
        <v>100.0</v>
      </c>
      <c r="I65" s="16">
        <f t="shared" si="1"/>
        <v>2.467963516</v>
      </c>
      <c r="J65" s="33">
        <f t="shared" si="2"/>
        <v>399.8129654</v>
      </c>
      <c r="K65" s="13"/>
      <c r="L65" s="33">
        <f t="shared" si="3"/>
        <v>399.8129654</v>
      </c>
    </row>
    <row r="66" ht="30.0" customHeight="1">
      <c r="A66" s="11">
        <v>60.0</v>
      </c>
      <c r="B66" s="13" t="s">
        <v>168</v>
      </c>
      <c r="C66" s="13"/>
      <c r="D66" s="30" t="s">
        <v>94</v>
      </c>
      <c r="E66" s="100">
        <v>46089.0</v>
      </c>
      <c r="F66" s="14"/>
      <c r="G66" s="59">
        <v>104.92152719342502</v>
      </c>
      <c r="H66" s="102">
        <v>10.0</v>
      </c>
      <c r="I66" s="16">
        <f t="shared" si="1"/>
        <v>0.8708486757</v>
      </c>
      <c r="J66" s="33">
        <f t="shared" si="2"/>
        <v>115.7923759</v>
      </c>
      <c r="K66" s="13"/>
      <c r="L66" s="33">
        <f t="shared" si="3"/>
        <v>115.7923759</v>
      </c>
    </row>
    <row r="67" ht="30.0" customHeight="1">
      <c r="A67" s="11">
        <v>61.0</v>
      </c>
      <c r="B67" s="13" t="s">
        <v>169</v>
      </c>
      <c r="C67" s="13"/>
      <c r="D67" s="30" t="s">
        <v>94</v>
      </c>
      <c r="E67" s="35"/>
      <c r="F67" s="14"/>
      <c r="G67" s="59">
        <v>124.83861425075068</v>
      </c>
      <c r="H67" s="53"/>
      <c r="I67" s="16">
        <f t="shared" si="1"/>
        <v>1.036160498</v>
      </c>
      <c r="J67" s="33">
        <f t="shared" si="2"/>
        <v>125.8747747</v>
      </c>
      <c r="K67" s="13"/>
      <c r="L67" s="33">
        <f t="shared" si="3"/>
        <v>125.8747747</v>
      </c>
    </row>
    <row r="68" ht="30.0" customHeight="1">
      <c r="A68" s="11">
        <v>62.0</v>
      </c>
      <c r="B68" s="13" t="s">
        <v>181</v>
      </c>
      <c r="C68" s="13"/>
      <c r="D68" s="30" t="s">
        <v>94</v>
      </c>
      <c r="E68" s="35"/>
      <c r="F68" s="14"/>
      <c r="G68" s="59">
        <v>103.73020680952719</v>
      </c>
      <c r="H68" s="53"/>
      <c r="I68" s="16">
        <f t="shared" si="1"/>
        <v>0.8609607165</v>
      </c>
      <c r="J68" s="33">
        <f t="shared" si="2"/>
        <v>104.5911675</v>
      </c>
      <c r="K68" s="13"/>
      <c r="L68" s="33">
        <f t="shared" si="3"/>
        <v>104.5911675</v>
      </c>
    </row>
    <row r="69" ht="30.0" customHeight="1">
      <c r="A69" s="11">
        <v>63.0</v>
      </c>
      <c r="B69" s="13" t="s">
        <v>171</v>
      </c>
      <c r="C69" s="13"/>
      <c r="D69" s="30" t="s">
        <v>94</v>
      </c>
      <c r="E69" s="100">
        <v>46082.0</v>
      </c>
      <c r="F69" s="14"/>
      <c r="G69" s="59">
        <v>211.54115138139392</v>
      </c>
      <c r="H69" s="97">
        <v>30.0</v>
      </c>
      <c r="I69" s="16">
        <f t="shared" si="1"/>
        <v>1.755791556</v>
      </c>
      <c r="J69" s="33">
        <f t="shared" si="2"/>
        <v>243.2969429</v>
      </c>
      <c r="K69" s="13"/>
      <c r="L69" s="33">
        <f t="shared" si="3"/>
        <v>243.2969429</v>
      </c>
    </row>
    <row r="70" ht="30.0" customHeight="1">
      <c r="A70" s="11">
        <v>64.0</v>
      </c>
      <c r="B70" s="13" t="s">
        <v>182</v>
      </c>
      <c r="C70" s="13"/>
      <c r="D70" s="30" t="s">
        <v>94</v>
      </c>
      <c r="E70" s="35"/>
      <c r="F70" s="14"/>
      <c r="G70" s="59">
        <v>72.36298131962147</v>
      </c>
      <c r="H70" s="53"/>
      <c r="I70" s="16">
        <f t="shared" si="1"/>
        <v>0.600612745</v>
      </c>
      <c r="J70" s="33">
        <f t="shared" si="2"/>
        <v>72.96359406</v>
      </c>
      <c r="K70" s="13"/>
      <c r="L70" s="33">
        <f t="shared" si="3"/>
        <v>72.96359406</v>
      </c>
    </row>
    <row r="71" ht="30.0" customHeight="1">
      <c r="A71" s="11">
        <v>65.0</v>
      </c>
      <c r="B71" s="13" t="s">
        <v>183</v>
      </c>
      <c r="C71" s="13"/>
      <c r="D71" s="30" t="s">
        <v>94</v>
      </c>
      <c r="E71" s="35"/>
      <c r="F71" s="14"/>
      <c r="G71" s="103">
        <v>20.93</v>
      </c>
      <c r="H71" s="53"/>
      <c r="I71" s="16">
        <f t="shared" si="1"/>
        <v>0.173719</v>
      </c>
      <c r="J71" s="33">
        <f t="shared" si="2"/>
        <v>21.103719</v>
      </c>
      <c r="K71" s="13"/>
      <c r="L71" s="33">
        <f t="shared" si="3"/>
        <v>21.103719</v>
      </c>
    </row>
    <row r="72" ht="30.0" customHeight="1">
      <c r="A72" s="11">
        <v>66.0</v>
      </c>
      <c r="B72" s="13" t="s">
        <v>184</v>
      </c>
      <c r="C72" s="13"/>
      <c r="D72" s="30" t="s">
        <v>94</v>
      </c>
      <c r="E72" s="35"/>
      <c r="F72" s="14"/>
      <c r="G72" s="59">
        <v>168.61731582429977</v>
      </c>
      <c r="H72" s="53"/>
      <c r="I72" s="16">
        <f t="shared" si="1"/>
        <v>1.399523721</v>
      </c>
      <c r="J72" s="33">
        <f t="shared" si="2"/>
        <v>170.0168395</v>
      </c>
      <c r="K72" s="13"/>
      <c r="L72" s="33">
        <f t="shared" si="3"/>
        <v>170.0168395</v>
      </c>
    </row>
    <row r="73" ht="30.0" customHeight="1">
      <c r="A73" s="11">
        <v>67.0</v>
      </c>
      <c r="B73" s="98" t="s">
        <v>185</v>
      </c>
      <c r="C73" s="13"/>
      <c r="D73" s="30" t="s">
        <v>94</v>
      </c>
      <c r="E73" s="100">
        <v>46088.0</v>
      </c>
      <c r="F73" s="14"/>
      <c r="G73" s="59">
        <v>164.72596263924294</v>
      </c>
      <c r="H73" s="97">
        <v>20.0</v>
      </c>
      <c r="I73" s="16">
        <f t="shared" si="1"/>
        <v>1.36722549</v>
      </c>
      <c r="J73" s="33">
        <f t="shared" si="2"/>
        <v>186.0931881</v>
      </c>
      <c r="K73" s="13"/>
      <c r="L73" s="33">
        <f t="shared" si="3"/>
        <v>186.0931881</v>
      </c>
    </row>
    <row r="74" ht="30.0" customHeight="1">
      <c r="A74" s="11">
        <v>68.0</v>
      </c>
      <c r="B74" s="13" t="s">
        <v>215</v>
      </c>
      <c r="C74" s="13" t="s">
        <v>93</v>
      </c>
      <c r="D74" s="30" t="s">
        <v>94</v>
      </c>
      <c r="E74" s="100">
        <v>46087.0</v>
      </c>
      <c r="F74" s="14" t="s">
        <v>175</v>
      </c>
      <c r="G74" s="59">
        <v>907.6309354543939</v>
      </c>
      <c r="H74" s="97">
        <v>10.0</v>
      </c>
      <c r="I74" s="16">
        <f t="shared" si="1"/>
        <v>7.533336764</v>
      </c>
      <c r="J74" s="33">
        <f t="shared" si="2"/>
        <v>925.1642722</v>
      </c>
      <c r="K74" s="13"/>
      <c r="L74" s="33">
        <f t="shared" si="3"/>
        <v>925.1642722</v>
      </c>
    </row>
    <row r="75" ht="30.0" customHeight="1">
      <c r="A75" s="11">
        <v>69.0</v>
      </c>
      <c r="B75" s="13" t="s">
        <v>187</v>
      </c>
      <c r="C75" s="13"/>
      <c r="D75" s="30" t="s">
        <v>94</v>
      </c>
      <c r="E75" s="100">
        <v>46088.0</v>
      </c>
      <c r="F75" s="14"/>
      <c r="G75" s="59">
        <v>82.36298131962147</v>
      </c>
      <c r="H75" s="97">
        <v>10.0</v>
      </c>
      <c r="I75" s="16">
        <f t="shared" si="1"/>
        <v>0.683612745</v>
      </c>
      <c r="J75" s="33">
        <f t="shared" si="2"/>
        <v>93.04659406</v>
      </c>
      <c r="K75" s="13"/>
      <c r="L75" s="33">
        <f t="shared" si="3"/>
        <v>93.04659406</v>
      </c>
    </row>
    <row r="76" ht="30.0" customHeight="1">
      <c r="A76" s="11">
        <v>70.0</v>
      </c>
      <c r="B76" s="13" t="s">
        <v>191</v>
      </c>
      <c r="C76" s="13"/>
      <c r="D76" s="30" t="s">
        <v>94</v>
      </c>
      <c r="E76" s="100">
        <v>46088.0</v>
      </c>
      <c r="F76" s="14"/>
      <c r="G76" s="59">
        <v>409.25156312417676</v>
      </c>
      <c r="H76" s="97">
        <v>50.0</v>
      </c>
      <c r="I76" s="16">
        <f t="shared" si="1"/>
        <v>3.396787974</v>
      </c>
      <c r="J76" s="33">
        <f t="shared" si="2"/>
        <v>462.6483511</v>
      </c>
      <c r="K76" s="13"/>
      <c r="L76" s="33">
        <f t="shared" si="3"/>
        <v>462.6483511</v>
      </c>
    </row>
    <row r="77" ht="30.0" customHeight="1">
      <c r="A77" s="11">
        <v>71.0</v>
      </c>
      <c r="B77" s="13" t="s">
        <v>192</v>
      </c>
      <c r="C77" s="13"/>
      <c r="D77" s="30" t="s">
        <v>94</v>
      </c>
      <c r="E77" s="100">
        <v>46087.0</v>
      </c>
      <c r="F77" s="14"/>
      <c r="G77" s="59">
        <v>407.99620103482675</v>
      </c>
      <c r="H77" s="97">
        <v>50.0</v>
      </c>
      <c r="I77" s="16">
        <f t="shared" si="1"/>
        <v>3.386368469</v>
      </c>
      <c r="J77" s="33">
        <f t="shared" si="2"/>
        <v>461.3825695</v>
      </c>
      <c r="K77" s="13"/>
      <c r="L77" s="33">
        <f t="shared" si="3"/>
        <v>461.3825695</v>
      </c>
    </row>
    <row r="78" ht="30.0" customHeight="1">
      <c r="A78" s="11">
        <v>72.0</v>
      </c>
      <c r="B78" s="13" t="s">
        <v>199</v>
      </c>
      <c r="C78" s="13"/>
      <c r="D78" s="30" t="s">
        <v>94</v>
      </c>
      <c r="E78" s="100">
        <v>46091.0</v>
      </c>
      <c r="F78" s="14"/>
      <c r="G78" s="59">
        <v>55.96245384574332</v>
      </c>
      <c r="H78" s="97">
        <v>15.0</v>
      </c>
      <c r="I78" s="16">
        <f t="shared" si="1"/>
        <v>0.4644883669</v>
      </c>
      <c r="J78" s="33">
        <f t="shared" si="2"/>
        <v>71.42694221</v>
      </c>
      <c r="K78" s="13"/>
      <c r="L78" s="33">
        <f t="shared" si="3"/>
        <v>71.42694221</v>
      </c>
    </row>
    <row r="79" ht="30.0" customHeight="1">
      <c r="A79" s="11">
        <v>73.0</v>
      </c>
      <c r="B79" s="13" t="s">
        <v>205</v>
      </c>
      <c r="C79" s="13"/>
      <c r="D79" s="30" t="s">
        <v>94</v>
      </c>
      <c r="E79" s="35"/>
      <c r="F79" s="14"/>
      <c r="G79" s="59">
        <v>40.37453335</v>
      </c>
      <c r="H79" s="53"/>
      <c r="I79" s="16">
        <f t="shared" si="1"/>
        <v>0.3351086268</v>
      </c>
      <c r="J79" s="33">
        <f t="shared" si="2"/>
        <v>40.70964198</v>
      </c>
      <c r="K79" s="13"/>
      <c r="L79" s="33">
        <f t="shared" si="3"/>
        <v>40.70964198</v>
      </c>
    </row>
    <row r="80" ht="30.0" customHeight="1">
      <c r="A80" s="11">
        <v>74.0</v>
      </c>
      <c r="B80" s="13" t="s">
        <v>206</v>
      </c>
      <c r="C80" s="13"/>
      <c r="D80" s="30" t="s">
        <v>94</v>
      </c>
      <c r="E80" s="100">
        <v>46083.0</v>
      </c>
      <c r="F80" s="14"/>
      <c r="G80" s="59">
        <v>90.49937779999999</v>
      </c>
      <c r="H80" s="97">
        <v>50.0</v>
      </c>
      <c r="I80" s="16">
        <f t="shared" si="1"/>
        <v>0.7511448357</v>
      </c>
      <c r="J80" s="33">
        <f t="shared" si="2"/>
        <v>141.2505226</v>
      </c>
      <c r="K80" s="13"/>
      <c r="L80" s="33">
        <f t="shared" si="3"/>
        <v>141.2505226</v>
      </c>
    </row>
    <row r="81" ht="30.0" customHeight="1">
      <c r="A81" s="11">
        <v>75.0</v>
      </c>
      <c r="B81" s="98" t="s">
        <v>207</v>
      </c>
      <c r="C81" s="13"/>
      <c r="D81" s="30" t="s">
        <v>94</v>
      </c>
      <c r="E81" s="100">
        <v>46083.0</v>
      </c>
      <c r="F81" s="14"/>
      <c r="G81" s="59">
        <v>90.49937779999999</v>
      </c>
      <c r="H81" s="97">
        <v>50.0</v>
      </c>
      <c r="I81" s="16">
        <f t="shared" si="1"/>
        <v>0.7511448357</v>
      </c>
      <c r="J81" s="33">
        <f t="shared" si="2"/>
        <v>141.2505226</v>
      </c>
      <c r="K81" s="13"/>
      <c r="L81" s="33">
        <f t="shared" si="3"/>
        <v>141.2505226</v>
      </c>
    </row>
    <row r="82" ht="30.0" customHeight="1">
      <c r="A82" s="11">
        <v>76.0</v>
      </c>
      <c r="B82" s="13" t="s">
        <v>217</v>
      </c>
      <c r="C82" s="13" t="s">
        <v>93</v>
      </c>
      <c r="D82" s="30" t="s">
        <v>94</v>
      </c>
      <c r="E82" s="100">
        <v>46091.0</v>
      </c>
      <c r="F82" s="14"/>
      <c r="G82" s="59">
        <v>100.6225</v>
      </c>
      <c r="H82" s="97">
        <v>25.0</v>
      </c>
      <c r="I82" s="16">
        <f t="shared" si="1"/>
        <v>0.83516675</v>
      </c>
      <c r="J82" s="33">
        <f t="shared" si="2"/>
        <v>126.4576668</v>
      </c>
      <c r="K82" s="13"/>
      <c r="L82" s="33">
        <f t="shared" si="3"/>
        <v>126.4576668</v>
      </c>
    </row>
    <row r="83" ht="30.0" customHeight="1">
      <c r="A83" s="11">
        <v>77.0</v>
      </c>
      <c r="B83" s="104" t="s">
        <v>222</v>
      </c>
      <c r="C83" s="13"/>
      <c r="D83" s="30" t="s">
        <v>94</v>
      </c>
      <c r="E83" s="100">
        <v>46091.0</v>
      </c>
      <c r="F83" s="14"/>
      <c r="G83" s="59">
        <v>100.0</v>
      </c>
      <c r="H83" s="97">
        <v>100.0</v>
      </c>
      <c r="I83" s="16">
        <f t="shared" si="1"/>
        <v>0.83</v>
      </c>
      <c r="J83" s="33">
        <f t="shared" si="2"/>
        <v>200.83</v>
      </c>
      <c r="K83" s="13"/>
      <c r="L83" s="33">
        <f t="shared" si="3"/>
        <v>200.83</v>
      </c>
    </row>
    <row r="84" ht="30.0" customHeight="1">
      <c r="A84" s="11">
        <v>78.0</v>
      </c>
      <c r="B84" s="13" t="s">
        <v>220</v>
      </c>
      <c r="C84" s="13"/>
      <c r="D84" s="30" t="s">
        <v>94</v>
      </c>
      <c r="E84" s="100">
        <v>46091.0</v>
      </c>
      <c r="F84" s="14"/>
      <c r="G84" s="59">
        <v>30.0</v>
      </c>
      <c r="H84" s="97">
        <v>20.0</v>
      </c>
      <c r="I84" s="16">
        <f t="shared" si="1"/>
        <v>0.249</v>
      </c>
      <c r="J84" s="33">
        <f t="shared" si="2"/>
        <v>50.249</v>
      </c>
      <c r="K84" s="13"/>
      <c r="L84" s="33">
        <f t="shared" si="3"/>
        <v>50.249</v>
      </c>
    </row>
    <row r="85" ht="30.0" customHeight="1">
      <c r="A85" s="11">
        <v>79.0</v>
      </c>
      <c r="B85" s="104" t="s">
        <v>223</v>
      </c>
      <c r="C85" s="13"/>
      <c r="D85" s="30" t="s">
        <v>94</v>
      </c>
      <c r="E85" s="100">
        <v>46079.0</v>
      </c>
      <c r="F85" s="14"/>
      <c r="G85" s="53"/>
      <c r="H85" s="97">
        <v>20.0</v>
      </c>
      <c r="I85" s="16">
        <f t="shared" si="1"/>
        <v>0</v>
      </c>
      <c r="J85" s="33">
        <f t="shared" si="2"/>
        <v>20</v>
      </c>
      <c r="K85" s="13"/>
      <c r="L85" s="33">
        <f t="shared" si="3"/>
        <v>20</v>
      </c>
    </row>
    <row r="86" ht="30.0" customHeight="1">
      <c r="A86" s="11">
        <v>80.0</v>
      </c>
      <c r="B86" s="104" t="s">
        <v>224</v>
      </c>
      <c r="C86" s="13"/>
      <c r="D86" s="30" t="s">
        <v>94</v>
      </c>
      <c r="E86" s="100">
        <v>46081.0</v>
      </c>
      <c r="F86" s="14"/>
      <c r="G86" s="53"/>
      <c r="H86" s="97">
        <v>10.0</v>
      </c>
      <c r="I86" s="16">
        <f t="shared" si="1"/>
        <v>0</v>
      </c>
      <c r="J86" s="33">
        <f t="shared" si="2"/>
        <v>10</v>
      </c>
      <c r="K86" s="13"/>
      <c r="L86" s="33">
        <f t="shared" si="3"/>
        <v>10</v>
      </c>
    </row>
    <row r="87" ht="30.0" customHeight="1">
      <c r="A87" s="11">
        <v>81.0</v>
      </c>
      <c r="B87" s="13" t="s">
        <v>225</v>
      </c>
      <c r="C87" s="13"/>
      <c r="D87" s="30" t="s">
        <v>94</v>
      </c>
      <c r="E87" s="100">
        <v>46088.0</v>
      </c>
      <c r="F87" s="14"/>
      <c r="G87" s="53"/>
      <c r="H87" s="97">
        <v>10.0</v>
      </c>
      <c r="I87" s="16">
        <f t="shared" si="1"/>
        <v>0</v>
      </c>
      <c r="J87" s="33">
        <f t="shared" si="2"/>
        <v>10</v>
      </c>
      <c r="K87" s="13"/>
      <c r="L87" s="33">
        <f t="shared" si="3"/>
        <v>10</v>
      </c>
    </row>
    <row r="88" ht="30.0" customHeight="1">
      <c r="A88" s="11">
        <v>82.0</v>
      </c>
      <c r="B88" s="104" t="s">
        <v>226</v>
      </c>
      <c r="C88" s="13"/>
      <c r="D88" s="30" t="s">
        <v>94</v>
      </c>
      <c r="E88" s="100">
        <v>46090.0</v>
      </c>
      <c r="F88" s="14"/>
      <c r="G88" s="53"/>
      <c r="H88" s="97">
        <v>10.0</v>
      </c>
      <c r="I88" s="16">
        <f t="shared" si="1"/>
        <v>0</v>
      </c>
      <c r="J88" s="33">
        <f t="shared" si="2"/>
        <v>10</v>
      </c>
      <c r="K88" s="13"/>
      <c r="L88" s="33">
        <f t="shared" si="3"/>
        <v>10</v>
      </c>
    </row>
    <row r="89" ht="30.0" customHeight="1">
      <c r="A89" s="11">
        <v>83.0</v>
      </c>
      <c r="B89" s="104" t="s">
        <v>227</v>
      </c>
      <c r="C89" s="13"/>
      <c r="D89" s="30" t="s">
        <v>94</v>
      </c>
      <c r="E89" s="100">
        <v>46091.0</v>
      </c>
      <c r="F89" s="14"/>
      <c r="G89" s="53"/>
      <c r="H89" s="97">
        <v>10.0</v>
      </c>
      <c r="I89" s="16">
        <f t="shared" si="1"/>
        <v>0</v>
      </c>
      <c r="J89" s="33">
        <f t="shared" si="2"/>
        <v>10</v>
      </c>
      <c r="K89" s="13"/>
      <c r="L89" s="33">
        <f t="shared" si="3"/>
        <v>10</v>
      </c>
    </row>
    <row r="90" ht="30.0" customHeight="1">
      <c r="A90" s="11">
        <v>84.0</v>
      </c>
      <c r="B90" s="104" t="s">
        <v>228</v>
      </c>
      <c r="C90" s="13"/>
      <c r="D90" s="30" t="s">
        <v>94</v>
      </c>
      <c r="E90" s="100">
        <v>46092.0</v>
      </c>
      <c r="F90" s="14"/>
      <c r="G90" s="53"/>
      <c r="H90" s="97">
        <v>20.0</v>
      </c>
      <c r="I90" s="16">
        <f t="shared" si="1"/>
        <v>0</v>
      </c>
      <c r="J90" s="33">
        <f t="shared" si="2"/>
        <v>20</v>
      </c>
      <c r="K90" s="13"/>
      <c r="L90" s="33">
        <f t="shared" si="3"/>
        <v>20</v>
      </c>
    </row>
    <row r="91" ht="30.0" customHeight="1">
      <c r="A91" s="11">
        <v>85.0</v>
      </c>
      <c r="B91" s="104" t="s">
        <v>229</v>
      </c>
      <c r="C91" s="13"/>
      <c r="D91" s="30" t="s">
        <v>94</v>
      </c>
      <c r="E91" s="100">
        <v>46092.0</v>
      </c>
      <c r="F91" s="14"/>
      <c r="G91" s="53"/>
      <c r="H91" s="97">
        <v>20.0</v>
      </c>
      <c r="I91" s="16">
        <f t="shared" si="1"/>
        <v>0</v>
      </c>
      <c r="J91" s="33">
        <f t="shared" si="2"/>
        <v>20</v>
      </c>
      <c r="K91" s="13"/>
      <c r="L91" s="33">
        <f t="shared" si="3"/>
        <v>20</v>
      </c>
    </row>
    <row r="92" ht="15.0" customHeight="1">
      <c r="A92" s="17"/>
      <c r="B92" s="13"/>
      <c r="C92" s="13"/>
      <c r="D92" s="13"/>
      <c r="E92" s="13"/>
      <c r="F92" s="13"/>
      <c r="G92" s="55">
        <f t="shared" ref="G92:L92" si="4">SUM(G7:G91)</f>
        <v>71008.06029</v>
      </c>
      <c r="H92" s="55">
        <f t="shared" si="4"/>
        <v>1656.13</v>
      </c>
      <c r="I92" s="55">
        <f t="shared" si="4"/>
        <v>589.3669004</v>
      </c>
      <c r="J92" s="55">
        <f t="shared" si="4"/>
        <v>73253.55719</v>
      </c>
      <c r="K92" s="55">
        <f t="shared" si="4"/>
        <v>0</v>
      </c>
      <c r="L92" s="55">
        <f t="shared" si="4"/>
        <v>73253.55719</v>
      </c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6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21"/>
      <c r="L94" s="4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</sheetData>
  <autoFilter ref="$A$6:$L$92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1.0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>
      <c r="A5" s="99" t="s">
        <v>230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</row>
    <row r="7" ht="24.75" customHeight="1">
      <c r="A7" s="11">
        <v>1.0</v>
      </c>
      <c r="B7" s="30" t="s">
        <v>131</v>
      </c>
      <c r="C7" s="30" t="s">
        <v>91</v>
      </c>
      <c r="D7" s="30" t="s">
        <v>92</v>
      </c>
      <c r="E7" s="35"/>
      <c r="F7" s="31"/>
      <c r="G7" s="32">
        <v>5579.733185205026</v>
      </c>
      <c r="H7" s="53"/>
      <c r="I7" s="33">
        <f t="shared" ref="I7:I101" si="1">G7*0.83%</f>
        <v>46.31178544</v>
      </c>
      <c r="J7" s="33">
        <f t="shared" ref="J7:J101" si="2">G7+H7+I7</f>
        <v>5626.044971</v>
      </c>
      <c r="K7" s="30"/>
      <c r="L7" s="33">
        <f t="shared" ref="L7:L101" si="3">J7-K7</f>
        <v>5626.044971</v>
      </c>
    </row>
    <row r="8" ht="24.75" customHeight="1">
      <c r="A8" s="11">
        <v>2.0</v>
      </c>
      <c r="B8" s="30" t="s">
        <v>33</v>
      </c>
      <c r="C8" s="30" t="s">
        <v>91</v>
      </c>
      <c r="D8" s="34" t="s">
        <v>209</v>
      </c>
      <c r="E8" s="100"/>
      <c r="F8" s="31"/>
      <c r="G8" s="32">
        <v>9504.022121535498</v>
      </c>
      <c r="H8" s="53"/>
      <c r="I8" s="33">
        <f t="shared" si="1"/>
        <v>78.88338361</v>
      </c>
      <c r="J8" s="33">
        <f t="shared" si="2"/>
        <v>9582.905505</v>
      </c>
      <c r="K8" s="30"/>
      <c r="L8" s="33">
        <f t="shared" si="3"/>
        <v>9582.905505</v>
      </c>
    </row>
    <row r="9" ht="24.75" customHeight="1">
      <c r="A9" s="11">
        <v>3.0</v>
      </c>
      <c r="B9" s="30" t="s">
        <v>34</v>
      </c>
      <c r="C9" s="30" t="s">
        <v>91</v>
      </c>
      <c r="D9" s="30" t="s">
        <v>92</v>
      </c>
      <c r="E9" s="100"/>
      <c r="F9" s="31"/>
      <c r="G9" s="32">
        <v>9744.458641187386</v>
      </c>
      <c r="H9" s="97"/>
      <c r="I9" s="33">
        <f t="shared" si="1"/>
        <v>80.87900672</v>
      </c>
      <c r="J9" s="33">
        <f t="shared" si="2"/>
        <v>9825.337648</v>
      </c>
      <c r="K9" s="30"/>
      <c r="L9" s="33">
        <f t="shared" si="3"/>
        <v>9825.337648</v>
      </c>
    </row>
    <row r="10" ht="24.75" customHeight="1">
      <c r="A10" s="11">
        <v>4.0</v>
      </c>
      <c r="B10" s="34" t="s">
        <v>35</v>
      </c>
      <c r="C10" s="34" t="s">
        <v>93</v>
      </c>
      <c r="D10" s="34" t="s">
        <v>92</v>
      </c>
      <c r="E10" s="35"/>
      <c r="F10" s="31" t="s">
        <v>101</v>
      </c>
      <c r="G10" s="32">
        <v>231.7714185839302</v>
      </c>
      <c r="H10" s="53"/>
      <c r="I10" s="32">
        <f t="shared" si="1"/>
        <v>1.923702774</v>
      </c>
      <c r="J10" s="33">
        <f t="shared" si="2"/>
        <v>233.6951214</v>
      </c>
      <c r="K10" s="51"/>
      <c r="L10" s="32">
        <f t="shared" si="3"/>
        <v>233.6951214</v>
      </c>
    </row>
    <row r="11" ht="24.75" customHeight="1">
      <c r="A11" s="11">
        <v>5.0</v>
      </c>
      <c r="B11" s="34" t="s">
        <v>189</v>
      </c>
      <c r="C11" s="34" t="s">
        <v>91</v>
      </c>
      <c r="D11" s="34" t="s">
        <v>92</v>
      </c>
      <c r="E11" s="100">
        <v>46118.0</v>
      </c>
      <c r="F11" s="35"/>
      <c r="G11" s="32">
        <v>788.2338917014422</v>
      </c>
      <c r="H11" s="105">
        <v>20.0</v>
      </c>
      <c r="I11" s="32">
        <f t="shared" si="1"/>
        <v>6.542341301</v>
      </c>
      <c r="J11" s="33">
        <f t="shared" si="2"/>
        <v>814.776233</v>
      </c>
      <c r="K11" s="34"/>
      <c r="L11" s="32">
        <f t="shared" si="3"/>
        <v>814.776233</v>
      </c>
    </row>
    <row r="12" ht="24.75" customHeight="1">
      <c r="A12" s="11">
        <v>6.0</v>
      </c>
      <c r="B12" s="34" t="s">
        <v>37</v>
      </c>
      <c r="C12" s="34" t="s">
        <v>91</v>
      </c>
      <c r="D12" s="34" t="s">
        <v>92</v>
      </c>
      <c r="E12" s="100"/>
      <c r="F12" s="35"/>
      <c r="G12" s="32">
        <v>1840.0180936930606</v>
      </c>
      <c r="H12" s="97"/>
      <c r="I12" s="32">
        <f t="shared" si="1"/>
        <v>15.27215018</v>
      </c>
      <c r="J12" s="33">
        <f t="shared" si="2"/>
        <v>1855.290244</v>
      </c>
      <c r="K12" s="34"/>
      <c r="L12" s="32">
        <f t="shared" si="3"/>
        <v>1855.290244</v>
      </c>
    </row>
    <row r="13" ht="24.75" customHeight="1">
      <c r="A13" s="11">
        <v>7.0</v>
      </c>
      <c r="B13" s="34" t="s">
        <v>38</v>
      </c>
      <c r="C13" s="34" t="s">
        <v>91</v>
      </c>
      <c r="D13" s="34" t="s">
        <v>92</v>
      </c>
      <c r="E13" s="100">
        <v>46129.0</v>
      </c>
      <c r="F13" s="35"/>
      <c r="G13" s="32">
        <v>9824.693221142432</v>
      </c>
      <c r="H13" s="105">
        <v>40.0</v>
      </c>
      <c r="I13" s="32">
        <f t="shared" si="1"/>
        <v>81.54495374</v>
      </c>
      <c r="J13" s="33">
        <f t="shared" si="2"/>
        <v>9946.238175</v>
      </c>
      <c r="K13" s="34"/>
      <c r="L13" s="32">
        <f t="shared" si="3"/>
        <v>9946.238175</v>
      </c>
    </row>
    <row r="14" ht="24.75" customHeight="1">
      <c r="A14" s="11">
        <v>8.0</v>
      </c>
      <c r="B14" s="30" t="s">
        <v>173</v>
      </c>
      <c r="C14" s="30" t="s">
        <v>91</v>
      </c>
      <c r="D14" s="30" t="s">
        <v>92</v>
      </c>
      <c r="E14" s="100">
        <v>46120.0</v>
      </c>
      <c r="F14" s="31"/>
      <c r="G14" s="33">
        <v>4007.4508610655894</v>
      </c>
      <c r="H14" s="105">
        <v>100.0</v>
      </c>
      <c r="I14" s="33">
        <f t="shared" si="1"/>
        <v>33.26184215</v>
      </c>
      <c r="J14" s="33">
        <f t="shared" si="2"/>
        <v>4140.712703</v>
      </c>
      <c r="K14" s="96"/>
      <c r="L14" s="33">
        <f t="shared" si="3"/>
        <v>4140.712703</v>
      </c>
    </row>
    <row r="15" ht="24.75" customHeight="1">
      <c r="A15" s="11">
        <v>9.0</v>
      </c>
      <c r="B15" s="30" t="s">
        <v>174</v>
      </c>
      <c r="C15" s="30" t="s">
        <v>91</v>
      </c>
      <c r="D15" s="30" t="s">
        <v>94</v>
      </c>
      <c r="E15" s="100">
        <v>46118.0</v>
      </c>
      <c r="F15" s="31"/>
      <c r="G15" s="33">
        <v>4597.895582180489</v>
      </c>
      <c r="H15" s="105">
        <v>20.0</v>
      </c>
      <c r="I15" s="33">
        <f t="shared" si="1"/>
        <v>38.16253333</v>
      </c>
      <c r="J15" s="33">
        <f t="shared" si="2"/>
        <v>4656.058116</v>
      </c>
      <c r="K15" s="30"/>
      <c r="L15" s="33">
        <f t="shared" si="3"/>
        <v>4656.058116</v>
      </c>
    </row>
    <row r="16" ht="24.75" customHeight="1">
      <c r="A16" s="11">
        <v>10.0</v>
      </c>
      <c r="B16" s="30" t="s">
        <v>49</v>
      </c>
      <c r="C16" s="30" t="s">
        <v>91</v>
      </c>
      <c r="D16" s="30" t="s">
        <v>94</v>
      </c>
      <c r="E16" s="100">
        <v>46122.0</v>
      </c>
      <c r="F16" s="31" t="s">
        <v>38</v>
      </c>
      <c r="G16" s="33">
        <v>348.9792689817689</v>
      </c>
      <c r="H16" s="105">
        <v>10.0</v>
      </c>
      <c r="I16" s="33">
        <f t="shared" si="1"/>
        <v>2.896527933</v>
      </c>
      <c r="J16" s="33">
        <f t="shared" si="2"/>
        <v>361.8757969</v>
      </c>
      <c r="K16" s="30"/>
      <c r="L16" s="33">
        <f t="shared" si="3"/>
        <v>361.8757969</v>
      </c>
    </row>
    <row r="17" ht="24.75" customHeight="1">
      <c r="A17" s="11">
        <v>11.0</v>
      </c>
      <c r="B17" s="30" t="s">
        <v>58</v>
      </c>
      <c r="C17" s="30" t="s">
        <v>93</v>
      </c>
      <c r="D17" s="30" t="s">
        <v>94</v>
      </c>
      <c r="E17" s="100">
        <v>46120.0</v>
      </c>
      <c r="F17" s="31" t="s">
        <v>39</v>
      </c>
      <c r="G17" s="32">
        <v>647.3514272383134</v>
      </c>
      <c r="H17" s="105">
        <v>20.0</v>
      </c>
      <c r="I17" s="33">
        <f t="shared" si="1"/>
        <v>5.373016846</v>
      </c>
      <c r="J17" s="33">
        <f t="shared" si="2"/>
        <v>672.7244441</v>
      </c>
      <c r="K17" s="30"/>
      <c r="L17" s="33">
        <f t="shared" si="3"/>
        <v>672.7244441</v>
      </c>
    </row>
    <row r="18" ht="24.75" customHeight="1">
      <c r="A18" s="11">
        <v>12.0</v>
      </c>
      <c r="B18" s="30" t="s">
        <v>51</v>
      </c>
      <c r="C18" s="30" t="s">
        <v>91</v>
      </c>
      <c r="D18" s="30" t="s">
        <v>94</v>
      </c>
      <c r="E18" s="35"/>
      <c r="F18" s="31" t="s">
        <v>34</v>
      </c>
      <c r="G18" s="32">
        <v>127.94276992227451</v>
      </c>
      <c r="H18" s="53"/>
      <c r="I18" s="33">
        <f t="shared" si="1"/>
        <v>1.06192499</v>
      </c>
      <c r="J18" s="33">
        <f t="shared" si="2"/>
        <v>129.0046949</v>
      </c>
      <c r="K18" s="30"/>
      <c r="L18" s="33">
        <f t="shared" si="3"/>
        <v>129.0046949</v>
      </c>
    </row>
    <row r="19" ht="24.75" customHeight="1">
      <c r="A19" s="11">
        <v>13.0</v>
      </c>
      <c r="B19" s="30" t="s">
        <v>52</v>
      </c>
      <c r="C19" s="30" t="s">
        <v>91</v>
      </c>
      <c r="D19" s="30" t="s">
        <v>94</v>
      </c>
      <c r="E19" s="35"/>
      <c r="F19" s="31" t="s">
        <v>38</v>
      </c>
      <c r="G19" s="32">
        <v>101.2750892398499</v>
      </c>
      <c r="H19" s="53"/>
      <c r="I19" s="33">
        <f t="shared" si="1"/>
        <v>0.8405832407</v>
      </c>
      <c r="J19" s="33">
        <f t="shared" si="2"/>
        <v>102.1156725</v>
      </c>
      <c r="K19" s="30"/>
      <c r="L19" s="33">
        <f t="shared" si="3"/>
        <v>102.1156725</v>
      </c>
    </row>
    <row r="20" ht="27.75" customHeight="1">
      <c r="A20" s="11">
        <v>14.0</v>
      </c>
      <c r="B20" s="30" t="s">
        <v>72</v>
      </c>
      <c r="C20" s="30" t="s">
        <v>91</v>
      </c>
      <c r="D20" s="30" t="s">
        <v>94</v>
      </c>
      <c r="E20" s="35"/>
      <c r="F20" s="31" t="s">
        <v>38</v>
      </c>
      <c r="G20" s="32">
        <v>384.38426713491236</v>
      </c>
      <c r="H20" s="53"/>
      <c r="I20" s="32">
        <f t="shared" si="1"/>
        <v>3.190389417</v>
      </c>
      <c r="J20" s="33">
        <f t="shared" si="2"/>
        <v>387.5746566</v>
      </c>
      <c r="K20" s="34"/>
      <c r="L20" s="32">
        <f t="shared" si="3"/>
        <v>387.5746566</v>
      </c>
    </row>
    <row r="21" ht="24.75" customHeight="1">
      <c r="A21" s="11">
        <v>15.0</v>
      </c>
      <c r="B21" s="34" t="s">
        <v>54</v>
      </c>
      <c r="C21" s="34" t="s">
        <v>91</v>
      </c>
      <c r="D21" s="30" t="s">
        <v>94</v>
      </c>
      <c r="E21" s="35"/>
      <c r="F21" s="35" t="s">
        <v>34</v>
      </c>
      <c r="G21" s="32">
        <v>3193.765527618465</v>
      </c>
      <c r="H21" s="53"/>
      <c r="I21" s="33">
        <f t="shared" si="1"/>
        <v>26.50825388</v>
      </c>
      <c r="J21" s="33">
        <f t="shared" si="2"/>
        <v>3220.273781</v>
      </c>
      <c r="K21" s="30"/>
      <c r="L21" s="33">
        <f t="shared" si="3"/>
        <v>3220.273781</v>
      </c>
    </row>
    <row r="22" ht="24.75" customHeight="1">
      <c r="A22" s="11">
        <v>16.0</v>
      </c>
      <c r="B22" s="30" t="s">
        <v>55</v>
      </c>
      <c r="C22" s="30" t="s">
        <v>91</v>
      </c>
      <c r="D22" s="30" t="s">
        <v>94</v>
      </c>
      <c r="E22" s="100">
        <v>46123.0</v>
      </c>
      <c r="F22" s="31" t="s">
        <v>33</v>
      </c>
      <c r="G22" s="32">
        <v>1048.8017962573767</v>
      </c>
      <c r="H22" s="105">
        <v>25.0</v>
      </c>
      <c r="I22" s="33">
        <f t="shared" si="1"/>
        <v>8.705054909</v>
      </c>
      <c r="J22" s="33">
        <f t="shared" si="2"/>
        <v>1082.506851</v>
      </c>
      <c r="K22" s="30"/>
      <c r="L22" s="33">
        <f t="shared" si="3"/>
        <v>1082.506851</v>
      </c>
    </row>
    <row r="23" ht="24.75" customHeight="1">
      <c r="A23" s="11">
        <v>17.0</v>
      </c>
      <c r="B23" s="30" t="s">
        <v>40</v>
      </c>
      <c r="C23" s="30" t="s">
        <v>91</v>
      </c>
      <c r="D23" s="30" t="s">
        <v>94</v>
      </c>
      <c r="E23" s="100"/>
      <c r="F23" s="31" t="s">
        <v>38</v>
      </c>
      <c r="G23" s="32">
        <v>115.54942629921044</v>
      </c>
      <c r="H23" s="97"/>
      <c r="I23" s="32">
        <f t="shared" si="1"/>
        <v>0.9590602383</v>
      </c>
      <c r="J23" s="33">
        <f t="shared" si="2"/>
        <v>116.5084865</v>
      </c>
      <c r="K23" s="34"/>
      <c r="L23" s="32">
        <f t="shared" si="3"/>
        <v>116.5084865</v>
      </c>
    </row>
    <row r="24" ht="24.75" customHeight="1">
      <c r="A24" s="11">
        <v>18.0</v>
      </c>
      <c r="B24" s="30" t="s">
        <v>95</v>
      </c>
      <c r="C24" s="30" t="s">
        <v>93</v>
      </c>
      <c r="D24" s="30" t="s">
        <v>94</v>
      </c>
      <c r="E24" s="100">
        <v>46101.0</v>
      </c>
      <c r="F24" s="31" t="s">
        <v>39</v>
      </c>
      <c r="G24" s="32">
        <v>1216.058646003052</v>
      </c>
      <c r="H24" s="105">
        <v>100.0</v>
      </c>
      <c r="I24" s="33">
        <f t="shared" si="1"/>
        <v>10.09328676</v>
      </c>
      <c r="J24" s="33">
        <f t="shared" si="2"/>
        <v>1326.151933</v>
      </c>
      <c r="K24" s="30"/>
      <c r="L24" s="33">
        <f t="shared" si="3"/>
        <v>1326.151933</v>
      </c>
    </row>
    <row r="25" ht="24.75" customHeight="1">
      <c r="A25" s="11">
        <v>19.0</v>
      </c>
      <c r="B25" s="34" t="s">
        <v>97</v>
      </c>
      <c r="C25" s="30" t="s">
        <v>93</v>
      </c>
      <c r="D25" s="30" t="s">
        <v>94</v>
      </c>
      <c r="E25" s="35"/>
      <c r="F25" s="31" t="s">
        <v>34</v>
      </c>
      <c r="G25" s="32">
        <v>94.87486220820573</v>
      </c>
      <c r="H25" s="53"/>
      <c r="I25" s="32">
        <f t="shared" si="1"/>
        <v>0.7874613563</v>
      </c>
      <c r="J25" s="33">
        <f t="shared" si="2"/>
        <v>95.66232356</v>
      </c>
      <c r="K25" s="34"/>
      <c r="L25" s="32">
        <f t="shared" si="3"/>
        <v>95.66232356</v>
      </c>
    </row>
    <row r="26" ht="24.75" customHeight="1">
      <c r="A26" s="11">
        <v>20.0</v>
      </c>
      <c r="B26" s="34" t="s">
        <v>98</v>
      </c>
      <c r="C26" s="34" t="s">
        <v>93</v>
      </c>
      <c r="D26" s="30" t="s">
        <v>94</v>
      </c>
      <c r="E26" s="100">
        <v>46121.0</v>
      </c>
      <c r="F26" s="35" t="s">
        <v>38</v>
      </c>
      <c r="G26" s="32">
        <v>154.2631251486881</v>
      </c>
      <c r="H26" s="105">
        <v>15.0</v>
      </c>
      <c r="I26" s="33">
        <f t="shared" si="1"/>
        <v>1.280383939</v>
      </c>
      <c r="J26" s="33">
        <f t="shared" si="2"/>
        <v>170.5435091</v>
      </c>
      <c r="K26" s="30"/>
      <c r="L26" s="33">
        <f t="shared" si="3"/>
        <v>170.5435091</v>
      </c>
    </row>
    <row r="27" ht="24.75" customHeight="1">
      <c r="A27" s="11">
        <v>21.0</v>
      </c>
      <c r="B27" s="30" t="s">
        <v>61</v>
      </c>
      <c r="C27" s="30" t="s">
        <v>91</v>
      </c>
      <c r="D27" s="30" t="s">
        <v>94</v>
      </c>
      <c r="E27" s="35"/>
      <c r="F27" s="31" t="s">
        <v>38</v>
      </c>
      <c r="G27" s="32">
        <v>163.95841940856658</v>
      </c>
      <c r="H27" s="53"/>
      <c r="I27" s="33">
        <f t="shared" si="1"/>
        <v>1.360854881</v>
      </c>
      <c r="J27" s="33">
        <f t="shared" si="2"/>
        <v>165.3192743</v>
      </c>
      <c r="K27" s="30"/>
      <c r="L27" s="33">
        <f t="shared" si="3"/>
        <v>165.3192743</v>
      </c>
    </row>
    <row r="28" ht="24.75" customHeight="1">
      <c r="A28" s="11">
        <v>22.0</v>
      </c>
      <c r="B28" s="30" t="s">
        <v>63</v>
      </c>
      <c r="C28" s="30" t="s">
        <v>91</v>
      </c>
      <c r="D28" s="30" t="s">
        <v>94</v>
      </c>
      <c r="E28" s="35"/>
      <c r="F28" s="31" t="s">
        <v>39</v>
      </c>
      <c r="G28" s="32">
        <v>1402.9428418359419</v>
      </c>
      <c r="H28" s="53"/>
      <c r="I28" s="33">
        <f t="shared" si="1"/>
        <v>11.64442559</v>
      </c>
      <c r="J28" s="33">
        <f t="shared" si="2"/>
        <v>1414.587267</v>
      </c>
      <c r="K28" s="30"/>
      <c r="L28" s="33">
        <f t="shared" si="3"/>
        <v>1414.587267</v>
      </c>
    </row>
    <row r="29" ht="24.75" customHeight="1">
      <c r="A29" s="11">
        <v>23.0</v>
      </c>
      <c r="B29" s="34" t="s">
        <v>64</v>
      </c>
      <c r="C29" s="30" t="s">
        <v>91</v>
      </c>
      <c r="D29" s="30" t="s">
        <v>94</v>
      </c>
      <c r="E29" s="35"/>
      <c r="F29" s="31" t="s">
        <v>40</v>
      </c>
      <c r="G29" s="32">
        <v>772.9798212767159</v>
      </c>
      <c r="H29" s="53"/>
      <c r="I29" s="33">
        <f t="shared" si="1"/>
        <v>6.415732517</v>
      </c>
      <c r="J29" s="33">
        <f t="shared" si="2"/>
        <v>779.3955538</v>
      </c>
      <c r="K29" s="30"/>
      <c r="L29" s="33">
        <f t="shared" si="3"/>
        <v>779.3955538</v>
      </c>
    </row>
    <row r="30" ht="24.75" customHeight="1">
      <c r="A30" s="11">
        <v>24.0</v>
      </c>
      <c r="B30" s="30" t="s">
        <v>65</v>
      </c>
      <c r="C30" s="30" t="s">
        <v>91</v>
      </c>
      <c r="D30" s="30" t="s">
        <v>94</v>
      </c>
      <c r="E30" s="35"/>
      <c r="F30" s="31" t="s">
        <v>39</v>
      </c>
      <c r="G30" s="32">
        <v>50.77809016468566</v>
      </c>
      <c r="H30" s="53"/>
      <c r="I30" s="33">
        <f t="shared" si="1"/>
        <v>0.4214581484</v>
      </c>
      <c r="J30" s="33">
        <f t="shared" si="2"/>
        <v>51.19954831</v>
      </c>
      <c r="K30" s="30"/>
      <c r="L30" s="33">
        <f t="shared" si="3"/>
        <v>51.19954831</v>
      </c>
    </row>
    <row r="31" ht="24.75" customHeight="1">
      <c r="A31" s="11">
        <v>25.0</v>
      </c>
      <c r="B31" s="30" t="s">
        <v>66</v>
      </c>
      <c r="C31" s="30" t="s">
        <v>91</v>
      </c>
      <c r="D31" s="30" t="s">
        <v>94</v>
      </c>
      <c r="E31" s="35"/>
      <c r="F31" s="31" t="s">
        <v>33</v>
      </c>
      <c r="G31" s="32">
        <v>77.86129730567905</v>
      </c>
      <c r="H31" s="53"/>
      <c r="I31" s="33">
        <f t="shared" si="1"/>
        <v>0.6462487676</v>
      </c>
      <c r="J31" s="33">
        <f t="shared" si="2"/>
        <v>78.50754607</v>
      </c>
      <c r="K31" s="30"/>
      <c r="L31" s="33">
        <f t="shared" si="3"/>
        <v>78.50754607</v>
      </c>
    </row>
    <row r="32" ht="24.75" customHeight="1">
      <c r="A32" s="11">
        <v>26.0</v>
      </c>
      <c r="B32" s="30" t="s">
        <v>99</v>
      </c>
      <c r="C32" s="30" t="s">
        <v>91</v>
      </c>
      <c r="D32" s="30" t="s">
        <v>94</v>
      </c>
      <c r="E32" s="35"/>
      <c r="F32" s="31" t="s">
        <v>38</v>
      </c>
      <c r="G32" s="32">
        <v>262.7153196353049</v>
      </c>
      <c r="H32" s="53"/>
      <c r="I32" s="33">
        <f t="shared" si="1"/>
        <v>2.180537153</v>
      </c>
      <c r="J32" s="33">
        <f t="shared" si="2"/>
        <v>264.8958568</v>
      </c>
      <c r="K32" s="30"/>
      <c r="L32" s="33">
        <f t="shared" si="3"/>
        <v>264.8958568</v>
      </c>
    </row>
    <row r="33" ht="24.75" customHeight="1">
      <c r="A33" s="11">
        <v>27.0</v>
      </c>
      <c r="B33" s="30" t="s">
        <v>101</v>
      </c>
      <c r="C33" s="30" t="s">
        <v>93</v>
      </c>
      <c r="D33" s="30" t="s">
        <v>94</v>
      </c>
      <c r="E33" s="35"/>
      <c r="F33" s="31"/>
      <c r="G33" s="32">
        <v>2210.9485699386214</v>
      </c>
      <c r="H33" s="53"/>
      <c r="I33" s="33">
        <f t="shared" si="1"/>
        <v>18.35087313</v>
      </c>
      <c r="J33" s="33">
        <f t="shared" si="2"/>
        <v>2229.299443</v>
      </c>
      <c r="K33" s="30"/>
      <c r="L33" s="33">
        <f t="shared" si="3"/>
        <v>2229.299443</v>
      </c>
    </row>
    <row r="34" ht="30.0" customHeight="1">
      <c r="A34" s="11">
        <v>28.0</v>
      </c>
      <c r="B34" s="30" t="s">
        <v>102</v>
      </c>
      <c r="C34" s="30"/>
      <c r="D34" s="30" t="s">
        <v>94</v>
      </c>
      <c r="E34" s="35"/>
      <c r="F34" s="31"/>
      <c r="G34" s="32">
        <v>18.959393381646322</v>
      </c>
      <c r="H34" s="53"/>
      <c r="I34" s="33">
        <f t="shared" si="1"/>
        <v>0.1573629651</v>
      </c>
      <c r="J34" s="33">
        <f t="shared" si="2"/>
        <v>19.11675635</v>
      </c>
      <c r="K34" s="30"/>
      <c r="L34" s="33">
        <f t="shared" si="3"/>
        <v>19.11675635</v>
      </c>
    </row>
    <row r="35" ht="30.0" customHeight="1">
      <c r="A35" s="11">
        <v>29.0</v>
      </c>
      <c r="B35" s="30" t="s">
        <v>104</v>
      </c>
      <c r="C35" s="30" t="s">
        <v>93</v>
      </c>
      <c r="D35" s="30" t="s">
        <v>94</v>
      </c>
      <c r="E35" s="35"/>
      <c r="F35" s="31"/>
      <c r="G35" s="32">
        <v>491.48258041643805</v>
      </c>
      <c r="H35" s="53"/>
      <c r="I35" s="33">
        <f t="shared" si="1"/>
        <v>4.079305417</v>
      </c>
      <c r="J35" s="33">
        <f t="shared" si="2"/>
        <v>495.5618858</v>
      </c>
      <c r="K35" s="30"/>
      <c r="L35" s="33">
        <f t="shared" si="3"/>
        <v>495.5618858</v>
      </c>
    </row>
    <row r="36" ht="30.0" customHeight="1">
      <c r="A36" s="11">
        <v>30.0</v>
      </c>
      <c r="B36" s="30" t="s">
        <v>190</v>
      </c>
      <c r="C36" s="34"/>
      <c r="D36" s="34" t="s">
        <v>94</v>
      </c>
      <c r="E36" s="100">
        <v>46116.0</v>
      </c>
      <c r="F36" s="35"/>
      <c r="G36" s="32">
        <v>532.1658678752902</v>
      </c>
      <c r="H36" s="105">
        <v>10.0</v>
      </c>
      <c r="I36" s="32">
        <f t="shared" si="1"/>
        <v>4.416976703</v>
      </c>
      <c r="J36" s="32">
        <f t="shared" si="2"/>
        <v>546.5828446</v>
      </c>
      <c r="K36" s="34"/>
      <c r="L36" s="32">
        <f t="shared" si="3"/>
        <v>546.5828446</v>
      </c>
    </row>
    <row r="37" ht="30.0" customHeight="1">
      <c r="A37" s="11">
        <v>31.0</v>
      </c>
      <c r="B37" s="34" t="s">
        <v>175</v>
      </c>
      <c r="C37" s="34" t="s">
        <v>93</v>
      </c>
      <c r="D37" s="34" t="s">
        <v>94</v>
      </c>
      <c r="E37" s="100">
        <v>46116.0</v>
      </c>
      <c r="F37" s="35"/>
      <c r="G37" s="32">
        <v>1315.7277796608605</v>
      </c>
      <c r="H37" s="105">
        <v>100.0</v>
      </c>
      <c r="I37" s="32">
        <f t="shared" si="1"/>
        <v>10.92054057</v>
      </c>
      <c r="J37" s="32">
        <f t="shared" si="2"/>
        <v>1426.64832</v>
      </c>
      <c r="K37" s="34"/>
      <c r="L37" s="32">
        <f t="shared" si="3"/>
        <v>1426.64832</v>
      </c>
    </row>
    <row r="38" ht="30.0" customHeight="1">
      <c r="A38" s="11">
        <v>32.0</v>
      </c>
      <c r="B38" s="34" t="s">
        <v>108</v>
      </c>
      <c r="C38" s="34"/>
      <c r="D38" s="34" t="s">
        <v>94</v>
      </c>
      <c r="E38" s="35"/>
      <c r="F38" s="35"/>
      <c r="G38" s="32">
        <v>68.45402515392094</v>
      </c>
      <c r="H38" s="53"/>
      <c r="I38" s="32">
        <f t="shared" si="1"/>
        <v>0.5681684088</v>
      </c>
      <c r="J38" s="33">
        <f t="shared" si="2"/>
        <v>69.02219356</v>
      </c>
      <c r="K38" s="34"/>
      <c r="L38" s="32">
        <f t="shared" si="3"/>
        <v>69.02219356</v>
      </c>
    </row>
    <row r="39" ht="30.0" customHeight="1">
      <c r="A39" s="11">
        <v>33.0</v>
      </c>
      <c r="B39" s="34" t="s">
        <v>111</v>
      </c>
      <c r="C39" s="34"/>
      <c r="D39" s="34" t="s">
        <v>94</v>
      </c>
      <c r="E39" s="35"/>
      <c r="F39" s="35"/>
      <c r="G39" s="32">
        <v>73.73734895074877</v>
      </c>
      <c r="H39" s="53"/>
      <c r="I39" s="32">
        <f t="shared" si="1"/>
        <v>0.6120199963</v>
      </c>
      <c r="J39" s="33">
        <f t="shared" si="2"/>
        <v>74.34936895</v>
      </c>
      <c r="K39" s="34"/>
      <c r="L39" s="32">
        <f t="shared" si="3"/>
        <v>74.34936895</v>
      </c>
    </row>
    <row r="40" ht="30.0" customHeight="1">
      <c r="A40" s="11">
        <v>34.0</v>
      </c>
      <c r="B40" s="34" t="s">
        <v>112</v>
      </c>
      <c r="C40" s="34"/>
      <c r="D40" s="34" t="s">
        <v>94</v>
      </c>
      <c r="E40" s="35"/>
      <c r="F40" s="35"/>
      <c r="G40" s="32">
        <v>25.312909682702944</v>
      </c>
      <c r="H40" s="53"/>
      <c r="I40" s="32">
        <f t="shared" si="1"/>
        <v>0.2100971504</v>
      </c>
      <c r="J40" s="33">
        <f t="shared" si="2"/>
        <v>25.52300683</v>
      </c>
      <c r="K40" s="34"/>
      <c r="L40" s="32">
        <f t="shared" si="3"/>
        <v>25.52300683</v>
      </c>
    </row>
    <row r="41" ht="30.0" customHeight="1">
      <c r="A41" s="11">
        <v>35.0</v>
      </c>
      <c r="B41" s="34" t="s">
        <v>116</v>
      </c>
      <c r="C41" s="34"/>
      <c r="D41" s="34" t="s">
        <v>94</v>
      </c>
      <c r="E41" s="35"/>
      <c r="F41" s="35"/>
      <c r="G41" s="32">
        <v>12.397495145831005</v>
      </c>
      <c r="H41" s="53"/>
      <c r="I41" s="32">
        <f t="shared" si="1"/>
        <v>0.1028992097</v>
      </c>
      <c r="J41" s="33">
        <f t="shared" si="2"/>
        <v>12.50039436</v>
      </c>
      <c r="K41" s="34"/>
      <c r="L41" s="32">
        <f t="shared" si="3"/>
        <v>12.50039436</v>
      </c>
    </row>
    <row r="42" ht="30.0" customHeight="1">
      <c r="A42" s="11">
        <v>36.0</v>
      </c>
      <c r="B42" s="30" t="s">
        <v>118</v>
      </c>
      <c r="C42" s="30"/>
      <c r="D42" s="30" t="s">
        <v>94</v>
      </c>
      <c r="E42" s="35"/>
      <c r="F42" s="31"/>
      <c r="G42" s="32">
        <v>24.79499029166201</v>
      </c>
      <c r="H42" s="53"/>
      <c r="I42" s="33">
        <f t="shared" si="1"/>
        <v>0.2057984194</v>
      </c>
      <c r="J42" s="33">
        <f t="shared" si="2"/>
        <v>25.00078871</v>
      </c>
      <c r="K42" s="30"/>
      <c r="L42" s="33">
        <f t="shared" si="3"/>
        <v>25.00078871</v>
      </c>
    </row>
    <row r="43" ht="30.0" customHeight="1">
      <c r="A43" s="11">
        <v>37.0</v>
      </c>
      <c r="B43" s="30" t="s">
        <v>176</v>
      </c>
      <c r="C43" s="34" t="s">
        <v>93</v>
      </c>
      <c r="D43" s="34" t="s">
        <v>94</v>
      </c>
      <c r="E43" s="35"/>
      <c r="F43" s="35"/>
      <c r="G43" s="32">
        <v>269.56336935058636</v>
      </c>
      <c r="H43" s="53"/>
      <c r="I43" s="32">
        <f t="shared" si="1"/>
        <v>2.237375966</v>
      </c>
      <c r="J43" s="32">
        <f t="shared" si="2"/>
        <v>271.8007453</v>
      </c>
      <c r="K43" s="34"/>
      <c r="L43" s="32">
        <f t="shared" si="3"/>
        <v>271.8007453</v>
      </c>
    </row>
    <row r="44" ht="30.0" customHeight="1">
      <c r="A44" s="11">
        <v>38.0</v>
      </c>
      <c r="B44" s="30" t="s">
        <v>121</v>
      </c>
      <c r="C44" s="30"/>
      <c r="D44" s="30" t="s">
        <v>94</v>
      </c>
      <c r="E44" s="35"/>
      <c r="F44" s="31"/>
      <c r="G44" s="32">
        <v>12.295442969186755</v>
      </c>
      <c r="H44" s="53"/>
      <c r="I44" s="33">
        <f t="shared" si="1"/>
        <v>0.1020521766</v>
      </c>
      <c r="J44" s="33">
        <f t="shared" si="2"/>
        <v>12.39749515</v>
      </c>
      <c r="K44" s="30"/>
      <c r="L44" s="33">
        <f t="shared" si="3"/>
        <v>12.39749515</v>
      </c>
    </row>
    <row r="45" ht="30.0" customHeight="1">
      <c r="A45" s="11">
        <v>39.0</v>
      </c>
      <c r="B45" s="34" t="s">
        <v>161</v>
      </c>
      <c r="C45" s="34" t="s">
        <v>93</v>
      </c>
      <c r="D45" s="34" t="s">
        <v>94</v>
      </c>
      <c r="E45" s="35"/>
      <c r="F45" s="35"/>
      <c r="G45" s="101">
        <v>115.04446261186554</v>
      </c>
      <c r="H45" s="53"/>
      <c r="I45" s="32">
        <f t="shared" si="1"/>
        <v>0.9548690397</v>
      </c>
      <c r="J45" s="32">
        <f t="shared" si="2"/>
        <v>115.9993317</v>
      </c>
      <c r="K45" s="12"/>
      <c r="L45" s="32">
        <f t="shared" si="3"/>
        <v>115.9993317</v>
      </c>
    </row>
    <row r="46" ht="30.0" customHeight="1">
      <c r="A46" s="11">
        <v>40.0</v>
      </c>
      <c r="B46" s="54" t="s">
        <v>126</v>
      </c>
      <c r="C46" s="13" t="s">
        <v>91</v>
      </c>
      <c r="D46" s="30" t="s">
        <v>94</v>
      </c>
      <c r="E46" s="31"/>
      <c r="F46" s="14"/>
      <c r="G46" s="59">
        <v>397.60988719732774</v>
      </c>
      <c r="H46" s="53"/>
      <c r="I46" s="33">
        <f t="shared" si="1"/>
        <v>3.300162064</v>
      </c>
      <c r="J46" s="33">
        <f t="shared" si="2"/>
        <v>400.9100493</v>
      </c>
      <c r="K46" s="13"/>
      <c r="L46" s="33">
        <f t="shared" si="3"/>
        <v>400.9100493</v>
      </c>
    </row>
    <row r="47" ht="30.0" customHeight="1">
      <c r="A47" s="11">
        <v>41.0</v>
      </c>
      <c r="B47" s="13" t="s">
        <v>127</v>
      </c>
      <c r="C47" s="13"/>
      <c r="D47" s="30" t="s">
        <v>94</v>
      </c>
      <c r="E47" s="35"/>
      <c r="F47" s="14"/>
      <c r="G47" s="59">
        <v>48.377060104469194</v>
      </c>
      <c r="H47" s="53"/>
      <c r="I47" s="33">
        <f t="shared" si="1"/>
        <v>0.4015295989</v>
      </c>
      <c r="J47" s="33">
        <f t="shared" si="2"/>
        <v>48.7785897</v>
      </c>
      <c r="K47" s="13"/>
      <c r="L47" s="33">
        <f t="shared" si="3"/>
        <v>48.7785897</v>
      </c>
    </row>
    <row r="48" ht="30.0" customHeight="1">
      <c r="A48" s="11">
        <v>42.0</v>
      </c>
      <c r="B48" s="13" t="s">
        <v>128</v>
      </c>
      <c r="C48" s="13"/>
      <c r="D48" s="30" t="s">
        <v>94</v>
      </c>
      <c r="E48" s="100"/>
      <c r="F48" s="14"/>
      <c r="G48" s="59">
        <v>266.4763938779229</v>
      </c>
      <c r="H48" s="97"/>
      <c r="I48" s="33">
        <f t="shared" si="1"/>
        <v>2.211754069</v>
      </c>
      <c r="J48" s="33">
        <f t="shared" si="2"/>
        <v>268.6881479</v>
      </c>
      <c r="K48" s="13"/>
      <c r="L48" s="33">
        <f t="shared" si="3"/>
        <v>268.6881479</v>
      </c>
    </row>
    <row r="49" ht="30.0" customHeight="1">
      <c r="A49" s="11">
        <v>43.0</v>
      </c>
      <c r="B49" s="13" t="s">
        <v>177</v>
      </c>
      <c r="C49" s="13" t="s">
        <v>91</v>
      </c>
      <c r="D49" s="30" t="s">
        <v>94</v>
      </c>
      <c r="E49" s="100">
        <v>46120.0</v>
      </c>
      <c r="F49" s="14" t="s">
        <v>101</v>
      </c>
      <c r="G49" s="59">
        <v>1419.8434708788122</v>
      </c>
      <c r="H49" s="105">
        <v>10.0</v>
      </c>
      <c r="I49" s="33">
        <f t="shared" si="1"/>
        <v>11.78470081</v>
      </c>
      <c r="J49" s="33">
        <f t="shared" si="2"/>
        <v>1441.628172</v>
      </c>
      <c r="K49" s="13"/>
      <c r="L49" s="33">
        <f t="shared" si="3"/>
        <v>1441.628172</v>
      </c>
    </row>
    <row r="50" ht="30.0" customHeight="1">
      <c r="A50" s="11">
        <v>44.0</v>
      </c>
      <c r="B50" s="13" t="s">
        <v>132</v>
      </c>
      <c r="C50" s="13"/>
      <c r="D50" s="30" t="s">
        <v>94</v>
      </c>
      <c r="E50" s="35"/>
      <c r="F50" s="14"/>
      <c r="G50" s="59">
        <v>18.041225140369306</v>
      </c>
      <c r="H50" s="53"/>
      <c r="I50" s="33">
        <f t="shared" si="1"/>
        <v>0.1497421687</v>
      </c>
      <c r="J50" s="33">
        <f t="shared" si="2"/>
        <v>18.19096731</v>
      </c>
      <c r="K50" s="13"/>
      <c r="L50" s="33">
        <f t="shared" si="3"/>
        <v>18.19096731</v>
      </c>
    </row>
    <row r="51" ht="27.0" customHeight="1">
      <c r="A51" s="11">
        <v>45.0</v>
      </c>
      <c r="B51" s="13" t="s">
        <v>133</v>
      </c>
      <c r="C51" s="13" t="s">
        <v>93</v>
      </c>
      <c r="D51" s="30" t="s">
        <v>94</v>
      </c>
      <c r="E51" s="100">
        <v>46122.0</v>
      </c>
      <c r="F51" s="14"/>
      <c r="G51" s="59">
        <v>880.2024439597732</v>
      </c>
      <c r="H51" s="105">
        <v>20.0</v>
      </c>
      <c r="I51" s="33">
        <f t="shared" si="1"/>
        <v>7.305680285</v>
      </c>
      <c r="J51" s="33">
        <f t="shared" si="2"/>
        <v>907.5081242</v>
      </c>
      <c r="K51" s="13"/>
      <c r="L51" s="33">
        <f t="shared" si="3"/>
        <v>907.5081242</v>
      </c>
    </row>
    <row r="52" ht="30.0" customHeight="1">
      <c r="A52" s="11">
        <v>46.0</v>
      </c>
      <c r="B52" s="30" t="s">
        <v>134</v>
      </c>
      <c r="C52" s="13"/>
      <c r="D52" s="30" t="s">
        <v>94</v>
      </c>
      <c r="E52" s="100">
        <v>46125.0</v>
      </c>
      <c r="F52" s="14" t="s">
        <v>131</v>
      </c>
      <c r="G52" s="59">
        <v>24.08815108161</v>
      </c>
      <c r="H52" s="105">
        <v>20.0</v>
      </c>
      <c r="I52" s="33">
        <f t="shared" si="1"/>
        <v>0.199931654</v>
      </c>
      <c r="J52" s="33">
        <f t="shared" si="2"/>
        <v>44.28808274</v>
      </c>
      <c r="K52" s="13"/>
      <c r="L52" s="33">
        <f t="shared" si="3"/>
        <v>44.28808274</v>
      </c>
    </row>
    <row r="53" ht="30.0" customHeight="1">
      <c r="A53" s="11">
        <v>47.0</v>
      </c>
      <c r="B53" s="30" t="s">
        <v>178</v>
      </c>
      <c r="C53" s="13"/>
      <c r="D53" s="30" t="s">
        <v>94</v>
      </c>
      <c r="E53" s="100">
        <v>46125.0</v>
      </c>
      <c r="F53" s="14" t="s">
        <v>131</v>
      </c>
      <c r="G53" s="59">
        <v>541.3504207653885</v>
      </c>
      <c r="H53" s="105">
        <v>30.0</v>
      </c>
      <c r="I53" s="33">
        <f t="shared" si="1"/>
        <v>4.493208492</v>
      </c>
      <c r="J53" s="33">
        <f t="shared" si="2"/>
        <v>575.8436293</v>
      </c>
      <c r="K53" s="13"/>
      <c r="L53" s="33">
        <f t="shared" si="3"/>
        <v>575.8436293</v>
      </c>
    </row>
    <row r="54" ht="30.0" customHeight="1">
      <c r="A54" s="11">
        <v>48.0</v>
      </c>
      <c r="B54" s="13" t="s">
        <v>136</v>
      </c>
      <c r="C54" s="13"/>
      <c r="D54" s="30" t="s">
        <v>94</v>
      </c>
      <c r="E54" s="35"/>
      <c r="F54" s="14" t="s">
        <v>131</v>
      </c>
      <c r="G54" s="59">
        <v>24.08815108161</v>
      </c>
      <c r="H54" s="53"/>
      <c r="I54" s="33">
        <f t="shared" si="1"/>
        <v>0.199931654</v>
      </c>
      <c r="J54" s="33">
        <f t="shared" si="2"/>
        <v>24.28808274</v>
      </c>
      <c r="K54" s="13"/>
      <c r="L54" s="33">
        <f t="shared" si="3"/>
        <v>24.28808274</v>
      </c>
    </row>
    <row r="55" ht="30.0" customHeight="1">
      <c r="A55" s="11">
        <v>49.0</v>
      </c>
      <c r="B55" s="13" t="s">
        <v>138</v>
      </c>
      <c r="C55" s="13"/>
      <c r="D55" s="30" t="s">
        <v>94</v>
      </c>
      <c r="E55" s="35"/>
      <c r="F55" s="14"/>
      <c r="G55" s="59">
        <v>11.994299199128614</v>
      </c>
      <c r="H55" s="53"/>
      <c r="I55" s="33">
        <f t="shared" si="1"/>
        <v>0.09955268335</v>
      </c>
      <c r="J55" s="33">
        <f t="shared" si="2"/>
        <v>12.09385188</v>
      </c>
      <c r="K55" s="13"/>
      <c r="L55" s="33">
        <f t="shared" si="3"/>
        <v>12.09385188</v>
      </c>
    </row>
    <row r="56" ht="30.0" customHeight="1">
      <c r="A56" s="11">
        <v>50.0</v>
      </c>
      <c r="B56" s="13" t="s">
        <v>142</v>
      </c>
      <c r="C56" s="13" t="s">
        <v>93</v>
      </c>
      <c r="D56" s="30" t="s">
        <v>94</v>
      </c>
      <c r="E56" s="100">
        <v>46123.0</v>
      </c>
      <c r="F56" s="14"/>
      <c r="G56" s="59">
        <v>180.6776765240305</v>
      </c>
      <c r="H56" s="105">
        <v>3.7</v>
      </c>
      <c r="I56" s="33">
        <f t="shared" si="1"/>
        <v>1.499624715</v>
      </c>
      <c r="J56" s="33">
        <f t="shared" si="2"/>
        <v>185.8773012</v>
      </c>
      <c r="K56" s="13"/>
      <c r="L56" s="33">
        <f t="shared" si="3"/>
        <v>185.8773012</v>
      </c>
    </row>
    <row r="57" ht="30.0" customHeight="1">
      <c r="A57" s="11">
        <v>51.0</v>
      </c>
      <c r="B57" s="13" t="s">
        <v>153</v>
      </c>
      <c r="C57" s="13" t="s">
        <v>93</v>
      </c>
      <c r="D57" s="30" t="s">
        <v>94</v>
      </c>
      <c r="E57" s="100">
        <v>46121.0</v>
      </c>
      <c r="F57" s="14"/>
      <c r="G57" s="59">
        <v>810.4398894482139</v>
      </c>
      <c r="H57" s="105">
        <v>25.0</v>
      </c>
      <c r="I57" s="33">
        <f t="shared" si="1"/>
        <v>6.726651082</v>
      </c>
      <c r="J57" s="33">
        <f t="shared" si="2"/>
        <v>842.1665405</v>
      </c>
      <c r="K57" s="13"/>
      <c r="L57" s="33">
        <f t="shared" si="3"/>
        <v>842.1665405</v>
      </c>
    </row>
    <row r="58" ht="30.0" customHeight="1">
      <c r="A58" s="11">
        <v>52.0</v>
      </c>
      <c r="B58" s="13" t="s">
        <v>154</v>
      </c>
      <c r="C58" s="13"/>
      <c r="D58" s="30" t="s">
        <v>94</v>
      </c>
      <c r="E58" s="35"/>
      <c r="F58" s="14"/>
      <c r="G58" s="59">
        <v>462.9044135704799</v>
      </c>
      <c r="H58" s="53"/>
      <c r="I58" s="33">
        <f t="shared" si="1"/>
        <v>3.842106633</v>
      </c>
      <c r="J58" s="33">
        <f t="shared" si="2"/>
        <v>466.7465202</v>
      </c>
      <c r="K58" s="13"/>
      <c r="L58" s="33">
        <f t="shared" si="3"/>
        <v>466.7465202</v>
      </c>
    </row>
    <row r="59" ht="30.0" customHeight="1">
      <c r="A59" s="11">
        <v>53.0</v>
      </c>
      <c r="B59" s="13" t="s">
        <v>155</v>
      </c>
      <c r="C59" s="13"/>
      <c r="D59" s="30" t="s">
        <v>94</v>
      </c>
      <c r="E59" s="100"/>
      <c r="F59" s="14"/>
      <c r="G59" s="59">
        <v>340.5520550681924</v>
      </c>
      <c r="H59" s="97"/>
      <c r="I59" s="33">
        <f t="shared" si="1"/>
        <v>2.826582057</v>
      </c>
      <c r="J59" s="33">
        <f t="shared" si="2"/>
        <v>343.3786371</v>
      </c>
      <c r="K59" s="13"/>
      <c r="L59" s="33">
        <f t="shared" si="3"/>
        <v>343.3786371</v>
      </c>
    </row>
    <row r="60" ht="30.0" customHeight="1">
      <c r="A60" s="11">
        <v>54.0</v>
      </c>
      <c r="B60" s="13" t="s">
        <v>162</v>
      </c>
      <c r="C60" s="13"/>
      <c r="D60" s="30" t="s">
        <v>94</v>
      </c>
      <c r="E60" s="100">
        <v>46113.0</v>
      </c>
      <c r="F60" s="14"/>
      <c r="G60" s="59">
        <v>332.4587914781417</v>
      </c>
      <c r="H60" s="105">
        <v>10.0</v>
      </c>
      <c r="I60" s="33">
        <f t="shared" si="1"/>
        <v>2.759407969</v>
      </c>
      <c r="J60" s="33">
        <f t="shared" si="2"/>
        <v>345.2181994</v>
      </c>
      <c r="K60" s="13"/>
      <c r="L60" s="33">
        <f t="shared" si="3"/>
        <v>345.2181994</v>
      </c>
    </row>
    <row r="61" ht="30.0" customHeight="1">
      <c r="A61" s="11">
        <v>55.0</v>
      </c>
      <c r="B61" s="13" t="s">
        <v>157</v>
      </c>
      <c r="C61" s="13"/>
      <c r="D61" s="30" t="s">
        <v>94</v>
      </c>
      <c r="E61" s="35"/>
      <c r="F61" s="14"/>
      <c r="G61" s="59">
        <v>27.473527849867196</v>
      </c>
      <c r="H61" s="53"/>
      <c r="I61" s="16">
        <f t="shared" si="1"/>
        <v>0.2280302812</v>
      </c>
      <c r="J61" s="33">
        <f t="shared" si="2"/>
        <v>27.70155813</v>
      </c>
      <c r="K61" s="13"/>
      <c r="L61" s="33">
        <f t="shared" si="3"/>
        <v>27.70155813</v>
      </c>
    </row>
    <row r="62" ht="30.0" customHeight="1">
      <c r="A62" s="11">
        <v>56.0</v>
      </c>
      <c r="B62" s="12" t="s">
        <v>179</v>
      </c>
      <c r="C62" s="12"/>
      <c r="D62" s="34" t="s">
        <v>94</v>
      </c>
      <c r="E62" s="100">
        <v>46114.0</v>
      </c>
      <c r="F62" s="22"/>
      <c r="G62" s="59">
        <v>1145.6458076262452</v>
      </c>
      <c r="H62" s="105">
        <v>50.0</v>
      </c>
      <c r="I62" s="15">
        <f t="shared" si="1"/>
        <v>9.508860203</v>
      </c>
      <c r="J62" s="32">
        <f t="shared" si="2"/>
        <v>1205.154668</v>
      </c>
      <c r="K62" s="12"/>
      <c r="L62" s="32">
        <f t="shared" si="3"/>
        <v>1205.154668</v>
      </c>
    </row>
    <row r="63" ht="30.0" customHeight="1">
      <c r="A63" s="11">
        <v>57.0</v>
      </c>
      <c r="B63" s="13" t="s">
        <v>160</v>
      </c>
      <c r="C63" s="13"/>
      <c r="D63" s="30" t="s">
        <v>94</v>
      </c>
      <c r="E63" s="100">
        <v>46116.0</v>
      </c>
      <c r="F63" s="14"/>
      <c r="G63" s="59">
        <v>68.38092916101036</v>
      </c>
      <c r="H63" s="105">
        <v>5.0</v>
      </c>
      <c r="I63" s="16">
        <f t="shared" si="1"/>
        <v>0.567561712</v>
      </c>
      <c r="J63" s="33">
        <f t="shared" si="2"/>
        <v>73.94849087</v>
      </c>
      <c r="K63" s="13"/>
      <c r="L63" s="33">
        <f t="shared" si="3"/>
        <v>73.94849087</v>
      </c>
    </row>
    <row r="64" ht="30.0" customHeight="1">
      <c r="A64" s="11">
        <v>58.0</v>
      </c>
      <c r="B64" s="13" t="s">
        <v>164</v>
      </c>
      <c r="C64" s="13"/>
      <c r="D64" s="30" t="s">
        <v>94</v>
      </c>
      <c r="E64" s="100">
        <v>46117.0</v>
      </c>
      <c r="F64" s="14"/>
      <c r="G64" s="59">
        <v>545.3476972984208</v>
      </c>
      <c r="H64" s="105">
        <v>50.0</v>
      </c>
      <c r="I64" s="16">
        <f t="shared" si="1"/>
        <v>4.526385888</v>
      </c>
      <c r="J64" s="33">
        <f t="shared" si="2"/>
        <v>599.8740832</v>
      </c>
      <c r="K64" s="13"/>
      <c r="L64" s="33">
        <f t="shared" si="3"/>
        <v>599.8740832</v>
      </c>
    </row>
    <row r="65" ht="30.0" customHeight="1">
      <c r="A65" s="11">
        <v>59.0</v>
      </c>
      <c r="B65" s="13" t="s">
        <v>180</v>
      </c>
      <c r="C65" s="13" t="s">
        <v>93</v>
      </c>
      <c r="D65" s="30" t="s">
        <v>94</v>
      </c>
      <c r="E65" s="100">
        <v>46121.0</v>
      </c>
      <c r="F65" s="14"/>
      <c r="G65" s="59">
        <v>399.8129653882936</v>
      </c>
      <c r="H65" s="105">
        <v>50.0</v>
      </c>
      <c r="I65" s="16">
        <f t="shared" si="1"/>
        <v>3.318447613</v>
      </c>
      <c r="J65" s="33">
        <f t="shared" si="2"/>
        <v>453.131413</v>
      </c>
      <c r="K65" s="13"/>
      <c r="L65" s="33">
        <f t="shared" si="3"/>
        <v>453.131413</v>
      </c>
    </row>
    <row r="66" ht="30.0" customHeight="1">
      <c r="A66" s="11">
        <v>60.0</v>
      </c>
      <c r="B66" s="13" t="s">
        <v>168</v>
      </c>
      <c r="C66" s="13"/>
      <c r="D66" s="30" t="s">
        <v>94</v>
      </c>
      <c r="E66" s="100">
        <v>46113.0</v>
      </c>
      <c r="F66" s="14"/>
      <c r="G66" s="59">
        <v>115.79237586913045</v>
      </c>
      <c r="H66" s="106">
        <v>10.0</v>
      </c>
      <c r="I66" s="16">
        <f t="shared" si="1"/>
        <v>0.9610767197</v>
      </c>
      <c r="J66" s="33">
        <f t="shared" si="2"/>
        <v>126.7534526</v>
      </c>
      <c r="K66" s="13"/>
      <c r="L66" s="33">
        <f t="shared" si="3"/>
        <v>126.7534526</v>
      </c>
    </row>
    <row r="67" ht="30.0" customHeight="1">
      <c r="A67" s="11">
        <v>61.0</v>
      </c>
      <c r="B67" s="13" t="s">
        <v>169</v>
      </c>
      <c r="C67" s="13"/>
      <c r="D67" s="30" t="s">
        <v>94</v>
      </c>
      <c r="E67" s="100">
        <v>46121.0</v>
      </c>
      <c r="F67" s="14"/>
      <c r="G67" s="59">
        <v>125.87477474903191</v>
      </c>
      <c r="H67" s="105">
        <v>10.0</v>
      </c>
      <c r="I67" s="16">
        <f t="shared" si="1"/>
        <v>1.04476063</v>
      </c>
      <c r="J67" s="33">
        <f t="shared" si="2"/>
        <v>136.9195354</v>
      </c>
      <c r="K67" s="13"/>
      <c r="L67" s="33">
        <f t="shared" si="3"/>
        <v>136.9195354</v>
      </c>
    </row>
    <row r="68" ht="30.0" customHeight="1">
      <c r="A68" s="11">
        <v>62.0</v>
      </c>
      <c r="B68" s="104" t="s">
        <v>231</v>
      </c>
      <c r="C68" s="13"/>
      <c r="D68" s="30" t="s">
        <v>94</v>
      </c>
      <c r="E68" s="100">
        <v>46098.0</v>
      </c>
      <c r="F68" s="14"/>
      <c r="G68" s="59">
        <v>104.59116752604626</v>
      </c>
      <c r="H68" s="105">
        <v>10.0</v>
      </c>
      <c r="I68" s="16">
        <f t="shared" si="1"/>
        <v>0.8681066905</v>
      </c>
      <c r="J68" s="33">
        <f t="shared" si="2"/>
        <v>115.4592742</v>
      </c>
      <c r="K68" s="13"/>
      <c r="L68" s="33">
        <f t="shared" si="3"/>
        <v>115.4592742</v>
      </c>
    </row>
    <row r="69" ht="30.0" customHeight="1">
      <c r="A69" s="11">
        <v>63.0</v>
      </c>
      <c r="B69" s="13" t="s">
        <v>171</v>
      </c>
      <c r="C69" s="13"/>
      <c r="D69" s="30" t="s">
        <v>94</v>
      </c>
      <c r="E69" s="100">
        <v>46115.0</v>
      </c>
      <c r="F69" s="14"/>
      <c r="G69" s="59">
        <v>243.29694293785948</v>
      </c>
      <c r="H69" s="105">
        <v>15.0</v>
      </c>
      <c r="I69" s="16">
        <f t="shared" si="1"/>
        <v>2.019364626</v>
      </c>
      <c r="J69" s="33">
        <f t="shared" si="2"/>
        <v>260.3163076</v>
      </c>
      <c r="K69" s="13"/>
      <c r="L69" s="33">
        <f t="shared" si="3"/>
        <v>260.3163076</v>
      </c>
    </row>
    <row r="70" ht="30.0" customHeight="1">
      <c r="A70" s="11">
        <v>64.0</v>
      </c>
      <c r="B70" s="13" t="s">
        <v>182</v>
      </c>
      <c r="C70" s="13"/>
      <c r="D70" s="30" t="s">
        <v>94</v>
      </c>
      <c r="E70" s="35"/>
      <c r="F70" s="14"/>
      <c r="G70" s="59">
        <v>72.96359406457432</v>
      </c>
      <c r="H70" s="53"/>
      <c r="I70" s="16">
        <f t="shared" si="1"/>
        <v>0.6055978307</v>
      </c>
      <c r="J70" s="33">
        <f t="shared" si="2"/>
        <v>73.5691919</v>
      </c>
      <c r="K70" s="13"/>
      <c r="L70" s="33">
        <f t="shared" si="3"/>
        <v>73.5691919</v>
      </c>
    </row>
    <row r="71" ht="30.0" customHeight="1">
      <c r="A71" s="11">
        <v>65.0</v>
      </c>
      <c r="B71" s="13" t="s">
        <v>183</v>
      </c>
      <c r="C71" s="13"/>
      <c r="D71" s="30" t="s">
        <v>94</v>
      </c>
      <c r="E71" s="35"/>
      <c r="F71" s="14"/>
      <c r="G71" s="103">
        <v>21.1</v>
      </c>
      <c r="H71" s="53"/>
      <c r="I71" s="16">
        <f t="shared" si="1"/>
        <v>0.17513</v>
      </c>
      <c r="J71" s="33">
        <f t="shared" si="2"/>
        <v>21.27513</v>
      </c>
      <c r="K71" s="104"/>
      <c r="L71" s="33">
        <f t="shared" si="3"/>
        <v>21.27513</v>
      </c>
    </row>
    <row r="72" ht="30.0" customHeight="1">
      <c r="A72" s="11">
        <v>66.0</v>
      </c>
      <c r="B72" s="13" t="s">
        <v>184</v>
      </c>
      <c r="C72" s="13"/>
      <c r="D72" s="30" t="s">
        <v>94</v>
      </c>
      <c r="E72" s="100">
        <v>46122.0</v>
      </c>
      <c r="F72" s="14"/>
      <c r="G72" s="59">
        <v>170.01683954564146</v>
      </c>
      <c r="H72" s="105">
        <v>10.0</v>
      </c>
      <c r="I72" s="16">
        <f t="shared" si="1"/>
        <v>1.411139768</v>
      </c>
      <c r="J72" s="33">
        <f t="shared" si="2"/>
        <v>181.4279793</v>
      </c>
      <c r="K72" s="13"/>
      <c r="L72" s="33">
        <f t="shared" si="3"/>
        <v>181.4279793</v>
      </c>
    </row>
    <row r="73" ht="30.0" customHeight="1">
      <c r="A73" s="11">
        <v>67.0</v>
      </c>
      <c r="B73" s="98" t="s">
        <v>185</v>
      </c>
      <c r="C73" s="13"/>
      <c r="D73" s="30" t="s">
        <v>94</v>
      </c>
      <c r="E73" s="100">
        <v>46119.0</v>
      </c>
      <c r="F73" s="14"/>
      <c r="G73" s="59">
        <v>186.09318812914864</v>
      </c>
      <c r="H73" s="105">
        <v>20.0</v>
      </c>
      <c r="I73" s="16">
        <f t="shared" si="1"/>
        <v>1.544573461</v>
      </c>
      <c r="J73" s="33">
        <f t="shared" si="2"/>
        <v>207.6377616</v>
      </c>
      <c r="K73" s="13"/>
      <c r="L73" s="33">
        <f t="shared" si="3"/>
        <v>207.6377616</v>
      </c>
    </row>
    <row r="74" ht="30.0" customHeight="1">
      <c r="A74" s="11">
        <v>68.0</v>
      </c>
      <c r="B74" s="104" t="s">
        <v>232</v>
      </c>
      <c r="C74" s="13" t="s">
        <v>93</v>
      </c>
      <c r="D74" s="30" t="s">
        <v>94</v>
      </c>
      <c r="E74" s="100">
        <v>46115.0</v>
      </c>
      <c r="F74" s="14" t="s">
        <v>175</v>
      </c>
      <c r="G74" s="59">
        <v>925.1642722186654</v>
      </c>
      <c r="H74" s="105">
        <v>20.0</v>
      </c>
      <c r="I74" s="16">
        <f t="shared" si="1"/>
        <v>7.678863459</v>
      </c>
      <c r="J74" s="33">
        <f t="shared" si="2"/>
        <v>952.8431357</v>
      </c>
      <c r="K74" s="13"/>
      <c r="L74" s="33">
        <f t="shared" si="3"/>
        <v>952.8431357</v>
      </c>
    </row>
    <row r="75" ht="30.0" customHeight="1">
      <c r="A75" s="11">
        <v>69.0</v>
      </c>
      <c r="B75" s="13" t="s">
        <v>187</v>
      </c>
      <c r="C75" s="13"/>
      <c r="D75" s="30" t="s">
        <v>94</v>
      </c>
      <c r="E75" s="100">
        <v>46122.0</v>
      </c>
      <c r="F75" s="14"/>
      <c r="G75" s="59">
        <v>93.04659406457432</v>
      </c>
      <c r="H75" s="105">
        <v>10.0</v>
      </c>
      <c r="I75" s="16">
        <f t="shared" si="1"/>
        <v>0.7722867307</v>
      </c>
      <c r="J75" s="33">
        <f t="shared" si="2"/>
        <v>103.8188808</v>
      </c>
      <c r="K75" s="13"/>
      <c r="L75" s="33">
        <f t="shared" si="3"/>
        <v>103.8188808</v>
      </c>
    </row>
    <row r="76" ht="30.0" customHeight="1">
      <c r="A76" s="11">
        <v>70.0</v>
      </c>
      <c r="B76" s="13" t="s">
        <v>191</v>
      </c>
      <c r="C76" s="13"/>
      <c r="D76" s="30" t="s">
        <v>94</v>
      </c>
      <c r="E76" s="100"/>
      <c r="F76" s="14"/>
      <c r="G76" s="59">
        <v>462.6483510981074</v>
      </c>
      <c r="H76" s="97"/>
      <c r="I76" s="16">
        <f t="shared" si="1"/>
        <v>3.839981314</v>
      </c>
      <c r="J76" s="33">
        <f t="shared" si="2"/>
        <v>466.4883324</v>
      </c>
      <c r="K76" s="13"/>
      <c r="L76" s="33">
        <f t="shared" si="3"/>
        <v>466.4883324</v>
      </c>
    </row>
    <row r="77" ht="30.0" customHeight="1">
      <c r="A77" s="11">
        <v>71.0</v>
      </c>
      <c r="B77" s="13" t="s">
        <v>192</v>
      </c>
      <c r="C77" s="13"/>
      <c r="D77" s="30" t="s">
        <v>94</v>
      </c>
      <c r="E77" s="100"/>
      <c r="F77" s="14"/>
      <c r="G77" s="59">
        <v>461.3825695034158</v>
      </c>
      <c r="H77" s="97"/>
      <c r="I77" s="16">
        <f t="shared" si="1"/>
        <v>3.829475327</v>
      </c>
      <c r="J77" s="33">
        <f t="shared" si="2"/>
        <v>465.2120448</v>
      </c>
      <c r="K77" s="13"/>
      <c r="L77" s="33">
        <f t="shared" si="3"/>
        <v>465.2120448</v>
      </c>
    </row>
    <row r="78" ht="30.0" customHeight="1">
      <c r="A78" s="11">
        <v>72.0</v>
      </c>
      <c r="B78" s="104" t="s">
        <v>233</v>
      </c>
      <c r="C78" s="13"/>
      <c r="D78" s="30" t="s">
        <v>94</v>
      </c>
      <c r="E78" s="100">
        <v>46120.0</v>
      </c>
      <c r="F78" s="14"/>
      <c r="G78" s="59">
        <v>71.42694221266298</v>
      </c>
      <c r="H78" s="105">
        <v>10.0</v>
      </c>
      <c r="I78" s="16">
        <f t="shared" si="1"/>
        <v>0.5928436204</v>
      </c>
      <c r="J78" s="33">
        <f t="shared" si="2"/>
        <v>82.01978583</v>
      </c>
      <c r="K78" s="13"/>
      <c r="L78" s="33">
        <f t="shared" si="3"/>
        <v>82.01978583</v>
      </c>
    </row>
    <row r="79" ht="30.0" customHeight="1">
      <c r="A79" s="11">
        <v>73.0</v>
      </c>
      <c r="B79" s="13" t="s">
        <v>205</v>
      </c>
      <c r="C79" s="13"/>
      <c r="D79" s="30" t="s">
        <v>94</v>
      </c>
      <c r="E79" s="100">
        <v>46123.0</v>
      </c>
      <c r="F79" s="14"/>
      <c r="G79" s="59">
        <v>40.709641976805</v>
      </c>
      <c r="H79" s="105">
        <v>10.0</v>
      </c>
      <c r="I79" s="16">
        <f t="shared" si="1"/>
        <v>0.3378900284</v>
      </c>
      <c r="J79" s="33">
        <f t="shared" si="2"/>
        <v>51.04753201</v>
      </c>
      <c r="K79" s="13"/>
      <c r="L79" s="33">
        <f t="shared" si="3"/>
        <v>51.04753201</v>
      </c>
    </row>
    <row r="80" ht="30.0" customHeight="1">
      <c r="A80" s="11">
        <v>74.0</v>
      </c>
      <c r="B80" s="13" t="s">
        <v>206</v>
      </c>
      <c r="C80" s="13"/>
      <c r="D80" s="30" t="s">
        <v>94</v>
      </c>
      <c r="E80" s="100">
        <v>46115.0</v>
      </c>
      <c r="F80" s="14"/>
      <c r="G80" s="59">
        <v>141.25052263574</v>
      </c>
      <c r="H80" s="105">
        <v>50.0</v>
      </c>
      <c r="I80" s="16">
        <f t="shared" si="1"/>
        <v>1.172379338</v>
      </c>
      <c r="J80" s="33">
        <f t="shared" si="2"/>
        <v>192.422902</v>
      </c>
      <c r="K80" s="13"/>
      <c r="L80" s="33">
        <f t="shared" si="3"/>
        <v>192.422902</v>
      </c>
    </row>
    <row r="81" ht="30.0" customHeight="1">
      <c r="A81" s="11">
        <v>75.0</v>
      </c>
      <c r="B81" s="98" t="s">
        <v>207</v>
      </c>
      <c r="C81" s="13"/>
      <c r="D81" s="30" t="s">
        <v>94</v>
      </c>
      <c r="E81" s="100">
        <v>46116.0</v>
      </c>
      <c r="F81" s="14"/>
      <c r="G81" s="59">
        <v>141.25052263574</v>
      </c>
      <c r="H81" s="105">
        <v>50.0</v>
      </c>
      <c r="I81" s="16">
        <f t="shared" si="1"/>
        <v>1.172379338</v>
      </c>
      <c r="J81" s="33">
        <f t="shared" si="2"/>
        <v>192.422902</v>
      </c>
      <c r="K81" s="13"/>
      <c r="L81" s="33">
        <f t="shared" si="3"/>
        <v>192.422902</v>
      </c>
    </row>
    <row r="82" ht="30.0" customHeight="1">
      <c r="A82" s="11">
        <v>76.0</v>
      </c>
      <c r="B82" s="13" t="s">
        <v>217</v>
      </c>
      <c r="C82" s="13" t="s">
        <v>93</v>
      </c>
      <c r="D82" s="30" t="s">
        <v>94</v>
      </c>
      <c r="E82" s="100">
        <v>46129.0</v>
      </c>
      <c r="F82" s="14"/>
      <c r="G82" s="59">
        <v>126.45766675</v>
      </c>
      <c r="H82" s="105">
        <v>15.0</v>
      </c>
      <c r="I82" s="16">
        <f t="shared" si="1"/>
        <v>1.049598634</v>
      </c>
      <c r="J82" s="33">
        <f t="shared" si="2"/>
        <v>142.5072654</v>
      </c>
      <c r="K82" s="13"/>
      <c r="L82" s="33">
        <f t="shared" si="3"/>
        <v>142.5072654</v>
      </c>
    </row>
    <row r="83" ht="30.0" customHeight="1">
      <c r="A83" s="11">
        <v>77.0</v>
      </c>
      <c r="B83" s="104" t="s">
        <v>222</v>
      </c>
      <c r="C83" s="13"/>
      <c r="D83" s="30" t="s">
        <v>94</v>
      </c>
      <c r="E83" s="100">
        <v>46122.0</v>
      </c>
      <c r="F83" s="14"/>
      <c r="G83" s="59">
        <v>200.83</v>
      </c>
      <c r="H83" s="105">
        <v>100.0</v>
      </c>
      <c r="I83" s="16">
        <f t="shared" si="1"/>
        <v>1.666889</v>
      </c>
      <c r="J83" s="33">
        <f t="shared" si="2"/>
        <v>302.496889</v>
      </c>
      <c r="K83" s="13"/>
      <c r="L83" s="33">
        <f t="shared" si="3"/>
        <v>302.496889</v>
      </c>
    </row>
    <row r="84" ht="30.0" customHeight="1">
      <c r="A84" s="11">
        <v>78.0</v>
      </c>
      <c r="B84" s="13" t="s">
        <v>220</v>
      </c>
      <c r="C84" s="13"/>
      <c r="D84" s="30" t="s">
        <v>94</v>
      </c>
      <c r="E84" s="100">
        <v>46120.0</v>
      </c>
      <c r="F84" s="14"/>
      <c r="G84" s="59">
        <v>50.249</v>
      </c>
      <c r="H84" s="105">
        <v>20.0</v>
      </c>
      <c r="I84" s="16">
        <f t="shared" si="1"/>
        <v>0.4170667</v>
      </c>
      <c r="J84" s="33">
        <f t="shared" si="2"/>
        <v>70.6660667</v>
      </c>
      <c r="K84" s="13"/>
      <c r="L84" s="33">
        <f t="shared" si="3"/>
        <v>70.6660667</v>
      </c>
    </row>
    <row r="85" ht="30.0" customHeight="1">
      <c r="A85" s="11">
        <v>79.0</v>
      </c>
      <c r="B85" s="104" t="s">
        <v>223</v>
      </c>
      <c r="C85" s="13"/>
      <c r="D85" s="30" t="s">
        <v>94</v>
      </c>
      <c r="E85" s="100">
        <v>46119.0</v>
      </c>
      <c r="F85" s="14"/>
      <c r="G85" s="59">
        <v>20.0</v>
      </c>
      <c r="H85" s="105">
        <v>20.0</v>
      </c>
      <c r="I85" s="16">
        <f t="shared" si="1"/>
        <v>0.166</v>
      </c>
      <c r="J85" s="33">
        <f t="shared" si="2"/>
        <v>40.166</v>
      </c>
      <c r="K85" s="13"/>
      <c r="L85" s="33">
        <f t="shared" si="3"/>
        <v>40.166</v>
      </c>
    </row>
    <row r="86" ht="30.0" customHeight="1">
      <c r="A86" s="11">
        <v>80.0</v>
      </c>
      <c r="B86" s="104" t="s">
        <v>224</v>
      </c>
      <c r="C86" s="13"/>
      <c r="D86" s="30" t="s">
        <v>94</v>
      </c>
      <c r="E86" s="100">
        <v>46113.0</v>
      </c>
      <c r="F86" s="14"/>
      <c r="G86" s="59">
        <v>10.0</v>
      </c>
      <c r="H86" s="105">
        <v>40.0</v>
      </c>
      <c r="I86" s="16">
        <f t="shared" si="1"/>
        <v>0.083</v>
      </c>
      <c r="J86" s="33">
        <f t="shared" si="2"/>
        <v>50.083</v>
      </c>
      <c r="K86" s="13"/>
      <c r="L86" s="33">
        <f t="shared" si="3"/>
        <v>50.083</v>
      </c>
    </row>
    <row r="87" ht="30.0" customHeight="1">
      <c r="A87" s="11">
        <v>81.0</v>
      </c>
      <c r="B87" s="13" t="s">
        <v>225</v>
      </c>
      <c r="C87" s="13"/>
      <c r="D87" s="30" t="s">
        <v>94</v>
      </c>
      <c r="E87" s="100">
        <v>46118.0</v>
      </c>
      <c r="F87" s="14"/>
      <c r="G87" s="59">
        <v>10.0</v>
      </c>
      <c r="H87" s="105">
        <v>15.0</v>
      </c>
      <c r="I87" s="16">
        <f t="shared" si="1"/>
        <v>0.083</v>
      </c>
      <c r="J87" s="33">
        <f t="shared" si="2"/>
        <v>25.083</v>
      </c>
      <c r="K87" s="13"/>
      <c r="L87" s="33">
        <f t="shared" si="3"/>
        <v>25.083</v>
      </c>
    </row>
    <row r="88" ht="30.0" customHeight="1">
      <c r="A88" s="11">
        <v>82.0</v>
      </c>
      <c r="B88" s="104" t="s">
        <v>226</v>
      </c>
      <c r="C88" s="13"/>
      <c r="D88" s="30" t="s">
        <v>94</v>
      </c>
      <c r="E88" s="100"/>
      <c r="F88" s="14"/>
      <c r="G88" s="59">
        <v>10.0</v>
      </c>
      <c r="H88" s="97"/>
      <c r="I88" s="16">
        <f t="shared" si="1"/>
        <v>0.083</v>
      </c>
      <c r="J88" s="33">
        <f t="shared" si="2"/>
        <v>10.083</v>
      </c>
      <c r="K88" s="13"/>
      <c r="L88" s="33">
        <f t="shared" si="3"/>
        <v>10.083</v>
      </c>
    </row>
    <row r="89" ht="30.0" customHeight="1">
      <c r="A89" s="11">
        <v>83.0</v>
      </c>
      <c r="B89" s="104" t="s">
        <v>227</v>
      </c>
      <c r="C89" s="13"/>
      <c r="D89" s="30" t="s">
        <v>94</v>
      </c>
      <c r="E89" s="100">
        <v>46121.0</v>
      </c>
      <c r="F89" s="14"/>
      <c r="G89" s="59">
        <v>10.0</v>
      </c>
      <c r="H89" s="105">
        <v>10.0</v>
      </c>
      <c r="I89" s="16">
        <f t="shared" si="1"/>
        <v>0.083</v>
      </c>
      <c r="J89" s="33">
        <f t="shared" si="2"/>
        <v>20.083</v>
      </c>
      <c r="K89" s="13"/>
      <c r="L89" s="33">
        <f t="shared" si="3"/>
        <v>20.083</v>
      </c>
    </row>
    <row r="90" ht="30.0" customHeight="1">
      <c r="A90" s="11">
        <v>84.0</v>
      </c>
      <c r="B90" s="104" t="s">
        <v>228</v>
      </c>
      <c r="C90" s="13"/>
      <c r="D90" s="30" t="s">
        <v>94</v>
      </c>
      <c r="E90" s="100">
        <v>46121.0</v>
      </c>
      <c r="F90" s="14"/>
      <c r="G90" s="59">
        <v>20.0</v>
      </c>
      <c r="H90" s="105">
        <v>20.0</v>
      </c>
      <c r="I90" s="16">
        <f t="shared" si="1"/>
        <v>0.166</v>
      </c>
      <c r="J90" s="33">
        <f t="shared" si="2"/>
        <v>40.166</v>
      </c>
      <c r="K90" s="13"/>
      <c r="L90" s="33">
        <f t="shared" si="3"/>
        <v>40.166</v>
      </c>
    </row>
    <row r="91" ht="30.0" customHeight="1">
      <c r="A91" s="11">
        <v>85.0</v>
      </c>
      <c r="B91" s="104" t="s">
        <v>229</v>
      </c>
      <c r="C91" s="13"/>
      <c r="D91" s="30" t="s">
        <v>94</v>
      </c>
      <c r="E91" s="100">
        <v>46122.0</v>
      </c>
      <c r="F91" s="14"/>
      <c r="G91" s="59">
        <v>20.0</v>
      </c>
      <c r="H91" s="105">
        <v>20.0</v>
      </c>
      <c r="I91" s="16">
        <f t="shared" si="1"/>
        <v>0.166</v>
      </c>
      <c r="J91" s="33">
        <f t="shared" si="2"/>
        <v>40.166</v>
      </c>
      <c r="K91" s="13"/>
      <c r="L91" s="33">
        <f t="shared" si="3"/>
        <v>40.166</v>
      </c>
    </row>
    <row r="92" ht="30.0" customHeight="1">
      <c r="A92" s="11">
        <v>86.0</v>
      </c>
      <c r="B92" s="104" t="s">
        <v>234</v>
      </c>
      <c r="C92" s="13"/>
      <c r="D92" s="30" t="s">
        <v>94</v>
      </c>
      <c r="E92" s="100">
        <v>46098.0</v>
      </c>
      <c r="F92" s="14"/>
      <c r="G92" s="59"/>
      <c r="H92" s="105">
        <v>45.0</v>
      </c>
      <c r="I92" s="16">
        <f t="shared" si="1"/>
        <v>0</v>
      </c>
      <c r="J92" s="33">
        <f t="shared" si="2"/>
        <v>45</v>
      </c>
      <c r="K92" s="13"/>
      <c r="L92" s="33">
        <f t="shared" si="3"/>
        <v>45</v>
      </c>
    </row>
    <row r="93" ht="30.0" customHeight="1">
      <c r="A93" s="11">
        <v>87.0</v>
      </c>
      <c r="B93" s="104" t="s">
        <v>235</v>
      </c>
      <c r="C93" s="13"/>
      <c r="D93" s="30" t="s">
        <v>94</v>
      </c>
      <c r="E93" s="100">
        <v>46098.0</v>
      </c>
      <c r="F93" s="14"/>
      <c r="G93" s="59"/>
      <c r="H93" s="105">
        <v>45.0</v>
      </c>
      <c r="I93" s="16">
        <f t="shared" si="1"/>
        <v>0</v>
      </c>
      <c r="J93" s="33">
        <f t="shared" si="2"/>
        <v>45</v>
      </c>
      <c r="K93" s="13"/>
      <c r="L93" s="33">
        <f t="shared" si="3"/>
        <v>45</v>
      </c>
    </row>
    <row r="94" ht="30.0" customHeight="1">
      <c r="A94" s="11">
        <v>88.0</v>
      </c>
      <c r="B94" s="104" t="s">
        <v>236</v>
      </c>
      <c r="C94" s="13"/>
      <c r="D94" s="30" t="s">
        <v>94</v>
      </c>
      <c r="E94" s="100">
        <v>46098.0</v>
      </c>
      <c r="F94" s="14"/>
      <c r="G94" s="59"/>
      <c r="H94" s="105">
        <v>70.0</v>
      </c>
      <c r="I94" s="16">
        <f t="shared" si="1"/>
        <v>0</v>
      </c>
      <c r="J94" s="33">
        <f t="shared" si="2"/>
        <v>70</v>
      </c>
      <c r="K94" s="13"/>
      <c r="L94" s="33">
        <f t="shared" si="3"/>
        <v>70</v>
      </c>
    </row>
    <row r="95" ht="30.0" customHeight="1">
      <c r="A95" s="11">
        <v>89.0</v>
      </c>
      <c r="B95" s="104" t="s">
        <v>237</v>
      </c>
      <c r="C95" s="13"/>
      <c r="D95" s="30" t="s">
        <v>94</v>
      </c>
      <c r="E95" s="100">
        <v>46098.0</v>
      </c>
      <c r="F95" s="14"/>
      <c r="G95" s="59"/>
      <c r="H95" s="105">
        <v>50.0</v>
      </c>
      <c r="I95" s="16">
        <f t="shared" si="1"/>
        <v>0</v>
      </c>
      <c r="J95" s="33">
        <f t="shared" si="2"/>
        <v>50</v>
      </c>
      <c r="K95" s="13"/>
      <c r="L95" s="33">
        <f t="shared" si="3"/>
        <v>50</v>
      </c>
    </row>
    <row r="96" ht="30.0" customHeight="1">
      <c r="A96" s="11">
        <v>90.0</v>
      </c>
      <c r="B96" s="104" t="s">
        <v>238</v>
      </c>
      <c r="C96" s="13"/>
      <c r="D96" s="30" t="s">
        <v>94</v>
      </c>
      <c r="E96" s="100">
        <v>46109.0</v>
      </c>
      <c r="F96" s="14"/>
      <c r="G96" s="59"/>
      <c r="H96" s="105">
        <v>100.0</v>
      </c>
      <c r="I96" s="16">
        <f t="shared" si="1"/>
        <v>0</v>
      </c>
      <c r="J96" s="33">
        <f t="shared" si="2"/>
        <v>100</v>
      </c>
      <c r="K96" s="13"/>
      <c r="L96" s="33">
        <f t="shared" si="3"/>
        <v>100</v>
      </c>
    </row>
    <row r="97" ht="30.0" customHeight="1">
      <c r="A97" s="11">
        <v>91.0</v>
      </c>
      <c r="B97" s="104" t="s">
        <v>239</v>
      </c>
      <c r="C97" s="13"/>
      <c r="D97" s="30" t="s">
        <v>94</v>
      </c>
      <c r="E97" s="100">
        <v>46112.0</v>
      </c>
      <c r="F97" s="14"/>
      <c r="G97" s="59"/>
      <c r="H97" s="105">
        <v>50.0</v>
      </c>
      <c r="I97" s="16">
        <f t="shared" si="1"/>
        <v>0</v>
      </c>
      <c r="J97" s="33">
        <f t="shared" si="2"/>
        <v>50</v>
      </c>
      <c r="K97" s="13"/>
      <c r="L97" s="33">
        <f t="shared" si="3"/>
        <v>50</v>
      </c>
    </row>
    <row r="98" ht="30.0" customHeight="1">
      <c r="A98" s="11">
        <v>92.0</v>
      </c>
      <c r="B98" s="104" t="s">
        <v>240</v>
      </c>
      <c r="C98" s="13"/>
      <c r="D98" s="30" t="s">
        <v>94</v>
      </c>
      <c r="E98" s="100">
        <v>46118.0</v>
      </c>
      <c r="F98" s="14"/>
      <c r="G98" s="59"/>
      <c r="H98" s="105">
        <v>10.0</v>
      </c>
      <c r="I98" s="16">
        <f t="shared" si="1"/>
        <v>0</v>
      </c>
      <c r="J98" s="33">
        <f t="shared" si="2"/>
        <v>10</v>
      </c>
      <c r="K98" s="13"/>
      <c r="L98" s="33">
        <f t="shared" si="3"/>
        <v>10</v>
      </c>
    </row>
    <row r="99" ht="30.0" customHeight="1">
      <c r="A99" s="11"/>
      <c r="B99" s="104"/>
      <c r="C99" s="13"/>
      <c r="D99" s="30" t="s">
        <v>94</v>
      </c>
      <c r="E99" s="100"/>
      <c r="F99" s="14"/>
      <c r="G99" s="59"/>
      <c r="H99" s="97"/>
      <c r="I99" s="16">
        <f t="shared" si="1"/>
        <v>0</v>
      </c>
      <c r="J99" s="33">
        <f t="shared" si="2"/>
        <v>0</v>
      </c>
      <c r="K99" s="13"/>
      <c r="L99" s="33">
        <f t="shared" si="3"/>
        <v>0</v>
      </c>
    </row>
    <row r="100" ht="30.0" customHeight="1">
      <c r="A100" s="11"/>
      <c r="B100" s="104"/>
      <c r="C100" s="13"/>
      <c r="D100" s="30" t="s">
        <v>94</v>
      </c>
      <c r="E100" s="100"/>
      <c r="F100" s="14"/>
      <c r="G100" s="59"/>
      <c r="H100" s="97"/>
      <c r="I100" s="16">
        <f t="shared" si="1"/>
        <v>0</v>
      </c>
      <c r="J100" s="33">
        <f t="shared" si="2"/>
        <v>0</v>
      </c>
      <c r="K100" s="13"/>
      <c r="L100" s="33">
        <f t="shared" si="3"/>
        <v>0</v>
      </c>
    </row>
    <row r="101" ht="30.0" customHeight="1">
      <c r="A101" s="11"/>
      <c r="B101" s="104"/>
      <c r="C101" s="13"/>
      <c r="D101" s="30" t="s">
        <v>94</v>
      </c>
      <c r="E101" s="100"/>
      <c r="F101" s="14"/>
      <c r="G101" s="59"/>
      <c r="H101" s="97"/>
      <c r="I101" s="16">
        <f t="shared" si="1"/>
        <v>0</v>
      </c>
      <c r="J101" s="33">
        <f t="shared" si="2"/>
        <v>0</v>
      </c>
      <c r="K101" s="13"/>
      <c r="L101" s="33">
        <f t="shared" si="3"/>
        <v>0</v>
      </c>
    </row>
    <row r="102" ht="15.0" customHeight="1">
      <c r="A102" s="17"/>
      <c r="B102" s="13"/>
      <c r="C102" s="13"/>
      <c r="D102" s="13"/>
      <c r="E102" s="13"/>
      <c r="F102" s="13"/>
      <c r="G102" s="55">
        <f t="shared" ref="G102:L102" si="4">SUM(G7:G101)</f>
        <v>73253.55347</v>
      </c>
      <c r="H102" s="55">
        <f t="shared" si="4"/>
        <v>1588.7</v>
      </c>
      <c r="I102" s="55">
        <f t="shared" si="4"/>
        <v>608.0044938</v>
      </c>
      <c r="J102" s="55">
        <f t="shared" si="4"/>
        <v>75450.25796</v>
      </c>
      <c r="K102" s="55">
        <f t="shared" si="4"/>
        <v>0</v>
      </c>
      <c r="L102" s="55">
        <f t="shared" si="4"/>
        <v>75450.25796</v>
      </c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6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21"/>
      <c r="L104" s="4"/>
    </row>
    <row r="105" ht="15.75" customHeight="1"/>
    <row r="106" ht="15.75" customHeight="1"/>
    <row r="107" ht="15.75" customHeight="1"/>
    <row r="108" ht="15.75" customHeight="1">
      <c r="H108" s="107"/>
    </row>
    <row r="109" ht="15.75" customHeight="1">
      <c r="G109" s="108" t="s">
        <v>241</v>
      </c>
      <c r="H109" s="109">
        <v>3035.56</v>
      </c>
    </row>
    <row r="110" ht="15.75" customHeight="1">
      <c r="G110" s="108" t="s">
        <v>242</v>
      </c>
      <c r="H110" s="107">
        <f>H102</f>
        <v>1588.7</v>
      </c>
    </row>
    <row r="111" ht="15.75" customHeight="1">
      <c r="G111" s="108" t="s">
        <v>243</v>
      </c>
      <c r="H111" s="107">
        <v>1546.6</v>
      </c>
    </row>
    <row r="112" ht="15.75" customHeight="1">
      <c r="H112" s="107">
        <f>SUM(H110:H111)</f>
        <v>3135.3</v>
      </c>
      <c r="I112" s="107">
        <f>H114-H109</f>
        <v>-0.26</v>
      </c>
    </row>
    <row r="113" ht="15.75" customHeight="1">
      <c r="G113" s="108" t="s">
        <v>244</v>
      </c>
      <c r="H113" s="107">
        <v>100.0</v>
      </c>
    </row>
    <row r="114" ht="15.75" customHeight="1">
      <c r="H114" s="107">
        <f>H112-H113</f>
        <v>3035.3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</sheetData>
  <autoFilter ref="$A$6:$L$102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2.71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>
      <c r="A5" s="99" t="s">
        <v>245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</row>
    <row r="7" ht="24.75" customHeight="1">
      <c r="A7" s="11">
        <v>1.0</v>
      </c>
      <c r="B7" s="30" t="s">
        <v>131</v>
      </c>
      <c r="C7" s="30" t="s">
        <v>91</v>
      </c>
      <c r="D7" s="30" t="s">
        <v>92</v>
      </c>
      <c r="E7" s="100">
        <v>46137.0</v>
      </c>
      <c r="F7" s="31"/>
      <c r="G7" s="32">
        <v>5626.044970642228</v>
      </c>
      <c r="H7" s="105">
        <v>25.0</v>
      </c>
      <c r="I7" s="33">
        <f t="shared" ref="I7:I98" si="1">G7*0.83%</f>
        <v>46.69617326</v>
      </c>
      <c r="J7" s="33">
        <f t="shared" ref="J7:J98" si="2">G7+H7+I7</f>
        <v>5697.741144</v>
      </c>
      <c r="K7" s="30"/>
      <c r="L7" s="33">
        <f t="shared" ref="L7:L44" si="3">J7-K7</f>
        <v>5697.741144</v>
      </c>
    </row>
    <row r="8" ht="24.75" customHeight="1">
      <c r="A8" s="11">
        <v>2.0</v>
      </c>
      <c r="B8" s="30" t="s">
        <v>33</v>
      </c>
      <c r="C8" s="30" t="s">
        <v>91</v>
      </c>
      <c r="D8" s="34" t="s">
        <v>209</v>
      </c>
      <c r="E8" s="100"/>
      <c r="F8" s="31"/>
      <c r="G8" s="32">
        <v>9582.905505144243</v>
      </c>
      <c r="H8" s="105"/>
      <c r="I8" s="33">
        <f t="shared" si="1"/>
        <v>79.53811569</v>
      </c>
      <c r="J8" s="33">
        <f t="shared" si="2"/>
        <v>9662.443621</v>
      </c>
      <c r="K8" s="30"/>
      <c r="L8" s="33">
        <f t="shared" si="3"/>
        <v>9662.443621</v>
      </c>
    </row>
    <row r="9" ht="24.75" customHeight="1">
      <c r="A9" s="11">
        <v>3.0</v>
      </c>
      <c r="B9" s="30" t="s">
        <v>34</v>
      </c>
      <c r="C9" s="30" t="s">
        <v>91</v>
      </c>
      <c r="D9" s="30" t="s">
        <v>92</v>
      </c>
      <c r="E9" s="100"/>
      <c r="F9" s="31"/>
      <c r="G9" s="32">
        <v>9825.337647909242</v>
      </c>
      <c r="H9" s="105"/>
      <c r="I9" s="33">
        <f t="shared" si="1"/>
        <v>81.55030248</v>
      </c>
      <c r="J9" s="33">
        <f t="shared" si="2"/>
        <v>9906.88795</v>
      </c>
      <c r="K9" s="30"/>
      <c r="L9" s="33">
        <f t="shared" si="3"/>
        <v>9906.88795</v>
      </c>
    </row>
    <row r="10" ht="24.75" customHeight="1">
      <c r="A10" s="11">
        <v>4.0</v>
      </c>
      <c r="B10" s="34" t="s">
        <v>35</v>
      </c>
      <c r="C10" s="34" t="s">
        <v>93</v>
      </c>
      <c r="D10" s="34" t="s">
        <v>92</v>
      </c>
      <c r="E10" s="35"/>
      <c r="F10" s="31" t="s">
        <v>101</v>
      </c>
      <c r="G10" s="32">
        <v>233.6951213581768</v>
      </c>
      <c r="H10" s="105"/>
      <c r="I10" s="32">
        <f t="shared" si="1"/>
        <v>1.939669507</v>
      </c>
      <c r="J10" s="33">
        <f t="shared" si="2"/>
        <v>235.6347909</v>
      </c>
      <c r="K10" s="51"/>
      <c r="L10" s="32">
        <f t="shared" si="3"/>
        <v>235.6347909</v>
      </c>
    </row>
    <row r="11" ht="24.75" customHeight="1">
      <c r="A11" s="11">
        <v>5.0</v>
      </c>
      <c r="B11" s="34" t="s">
        <v>189</v>
      </c>
      <c r="C11" s="34" t="s">
        <v>91</v>
      </c>
      <c r="D11" s="34" t="s">
        <v>92</v>
      </c>
      <c r="E11" s="100">
        <v>46150.0</v>
      </c>
      <c r="F11" s="35"/>
      <c r="G11" s="32">
        <v>814.7762330025641</v>
      </c>
      <c r="H11" s="105">
        <v>10.0</v>
      </c>
      <c r="I11" s="32">
        <f t="shared" si="1"/>
        <v>6.762642734</v>
      </c>
      <c r="J11" s="33">
        <f t="shared" si="2"/>
        <v>831.5388757</v>
      </c>
      <c r="K11" s="34"/>
      <c r="L11" s="32">
        <f t="shared" si="3"/>
        <v>831.5388757</v>
      </c>
    </row>
    <row r="12" ht="24.75" customHeight="1">
      <c r="A12" s="11">
        <v>6.0</v>
      </c>
      <c r="B12" s="34" t="s">
        <v>37</v>
      </c>
      <c r="C12" s="34" t="s">
        <v>91</v>
      </c>
      <c r="D12" s="34" t="s">
        <v>92</v>
      </c>
      <c r="E12" s="100"/>
      <c r="F12" s="35"/>
      <c r="G12" s="32">
        <v>1855.2902438707129</v>
      </c>
      <c r="H12" s="105"/>
      <c r="I12" s="32">
        <f t="shared" si="1"/>
        <v>15.39890902</v>
      </c>
      <c r="J12" s="33">
        <f t="shared" si="2"/>
        <v>1870.689153</v>
      </c>
      <c r="K12" s="34"/>
      <c r="L12" s="32">
        <f t="shared" si="3"/>
        <v>1870.689153</v>
      </c>
    </row>
    <row r="13" ht="24.75" customHeight="1">
      <c r="A13" s="11">
        <v>7.0</v>
      </c>
      <c r="B13" s="34" t="s">
        <v>38</v>
      </c>
      <c r="C13" s="34" t="s">
        <v>91</v>
      </c>
      <c r="D13" s="34" t="s">
        <v>92</v>
      </c>
      <c r="E13" s="100">
        <v>46153.0</v>
      </c>
      <c r="F13" s="35"/>
      <c r="G13" s="32">
        <v>9946.238174877913</v>
      </c>
      <c r="H13" s="105">
        <v>36.54</v>
      </c>
      <c r="I13" s="32">
        <f t="shared" si="1"/>
        <v>82.55377685</v>
      </c>
      <c r="J13" s="33">
        <f t="shared" si="2"/>
        <v>10065.33195</v>
      </c>
      <c r="K13" s="34"/>
      <c r="L13" s="32">
        <f t="shared" si="3"/>
        <v>10065.33195</v>
      </c>
    </row>
    <row r="14" ht="24.75" customHeight="1">
      <c r="A14" s="11">
        <v>8.0</v>
      </c>
      <c r="B14" s="30" t="s">
        <v>173</v>
      </c>
      <c r="C14" s="30" t="s">
        <v>91</v>
      </c>
      <c r="D14" s="30" t="s">
        <v>92</v>
      </c>
      <c r="E14" s="100">
        <v>46147.0</v>
      </c>
      <c r="F14" s="31"/>
      <c r="G14" s="33">
        <v>4140.712703212434</v>
      </c>
      <c r="H14" s="105">
        <v>100.0</v>
      </c>
      <c r="I14" s="33">
        <f t="shared" si="1"/>
        <v>34.36791544</v>
      </c>
      <c r="J14" s="33">
        <f t="shared" si="2"/>
        <v>4275.080619</v>
      </c>
      <c r="K14" s="96"/>
      <c r="L14" s="33">
        <f t="shared" si="3"/>
        <v>4275.080619</v>
      </c>
    </row>
    <row r="15" ht="24.75" customHeight="1">
      <c r="A15" s="11">
        <v>9.0</v>
      </c>
      <c r="B15" s="30" t="s">
        <v>174</v>
      </c>
      <c r="C15" s="30" t="s">
        <v>91</v>
      </c>
      <c r="D15" s="30" t="s">
        <v>94</v>
      </c>
      <c r="E15" s="100">
        <v>46143.0</v>
      </c>
      <c r="F15" s="31"/>
      <c r="G15" s="33">
        <v>4656.058115512587</v>
      </c>
      <c r="H15" s="105">
        <v>20.0</v>
      </c>
      <c r="I15" s="33">
        <f t="shared" si="1"/>
        <v>38.64528236</v>
      </c>
      <c r="J15" s="33">
        <f t="shared" si="2"/>
        <v>4714.703398</v>
      </c>
      <c r="K15" s="30"/>
      <c r="L15" s="33">
        <f t="shared" si="3"/>
        <v>4714.703398</v>
      </c>
    </row>
    <row r="16" ht="24.75" customHeight="1">
      <c r="A16" s="11">
        <v>10.0</v>
      </c>
      <c r="B16" s="30" t="s">
        <v>49</v>
      </c>
      <c r="C16" s="30" t="s">
        <v>91</v>
      </c>
      <c r="D16" s="30" t="s">
        <v>94</v>
      </c>
      <c r="E16" s="100">
        <v>46148.0</v>
      </c>
      <c r="F16" s="31" t="s">
        <v>38</v>
      </c>
      <c r="G16" s="33">
        <v>361.87579691431756</v>
      </c>
      <c r="H16" s="105">
        <v>10.0</v>
      </c>
      <c r="I16" s="33">
        <f t="shared" si="1"/>
        <v>3.003569114</v>
      </c>
      <c r="J16" s="33">
        <f t="shared" si="2"/>
        <v>374.879366</v>
      </c>
      <c r="K16" s="30"/>
      <c r="L16" s="33">
        <f t="shared" si="3"/>
        <v>374.879366</v>
      </c>
    </row>
    <row r="17" ht="24.75" customHeight="1">
      <c r="A17" s="11">
        <v>11.0</v>
      </c>
      <c r="B17" s="30" t="s">
        <v>58</v>
      </c>
      <c r="C17" s="30" t="s">
        <v>93</v>
      </c>
      <c r="D17" s="30" t="s">
        <v>94</v>
      </c>
      <c r="E17" s="100">
        <v>46151.0</v>
      </c>
      <c r="F17" s="31" t="s">
        <v>39</v>
      </c>
      <c r="G17" s="32">
        <v>672.7244440843914</v>
      </c>
      <c r="H17" s="105">
        <v>30.0</v>
      </c>
      <c r="I17" s="33">
        <f t="shared" si="1"/>
        <v>5.583612886</v>
      </c>
      <c r="J17" s="33">
        <f t="shared" si="2"/>
        <v>708.308057</v>
      </c>
      <c r="K17" s="30"/>
      <c r="L17" s="33">
        <f t="shared" si="3"/>
        <v>708.308057</v>
      </c>
    </row>
    <row r="18" ht="24.75" customHeight="1">
      <c r="A18" s="11">
        <v>12.0</v>
      </c>
      <c r="B18" s="30" t="s">
        <v>51</v>
      </c>
      <c r="C18" s="30" t="s">
        <v>91</v>
      </c>
      <c r="D18" s="30" t="s">
        <v>94</v>
      </c>
      <c r="E18" s="35"/>
      <c r="F18" s="31" t="s">
        <v>34</v>
      </c>
      <c r="G18" s="32">
        <v>129.0046949126294</v>
      </c>
      <c r="H18" s="105"/>
      <c r="I18" s="33">
        <f t="shared" si="1"/>
        <v>1.070738968</v>
      </c>
      <c r="J18" s="33">
        <f t="shared" si="2"/>
        <v>130.0754339</v>
      </c>
      <c r="K18" s="30"/>
      <c r="L18" s="33">
        <f t="shared" si="3"/>
        <v>130.0754339</v>
      </c>
    </row>
    <row r="19" ht="24.75" customHeight="1">
      <c r="A19" s="11">
        <v>13.0</v>
      </c>
      <c r="B19" s="110" t="s">
        <v>246</v>
      </c>
      <c r="C19" s="30" t="s">
        <v>91</v>
      </c>
      <c r="D19" s="30" t="s">
        <v>94</v>
      </c>
      <c r="E19" s="100"/>
      <c r="F19" s="31" t="s">
        <v>38</v>
      </c>
      <c r="G19" s="32">
        <v>102.11567248054065</v>
      </c>
      <c r="H19" s="105"/>
      <c r="I19" s="33">
        <f t="shared" si="1"/>
        <v>0.8475600816</v>
      </c>
      <c r="J19" s="33">
        <f t="shared" si="2"/>
        <v>102.9632326</v>
      </c>
      <c r="K19" s="30"/>
      <c r="L19" s="33">
        <f t="shared" si="3"/>
        <v>102.9632326</v>
      </c>
    </row>
    <row r="20" ht="27.75" customHeight="1">
      <c r="A20" s="11">
        <v>14.0</v>
      </c>
      <c r="B20" s="30" t="s">
        <v>72</v>
      </c>
      <c r="C20" s="30" t="s">
        <v>91</v>
      </c>
      <c r="D20" s="30" t="s">
        <v>94</v>
      </c>
      <c r="E20" s="35"/>
      <c r="F20" s="31" t="s">
        <v>38</v>
      </c>
      <c r="G20" s="32">
        <v>387.5746565521321</v>
      </c>
      <c r="H20" s="105"/>
      <c r="I20" s="32">
        <f t="shared" si="1"/>
        <v>3.216869649</v>
      </c>
      <c r="J20" s="33">
        <f t="shared" si="2"/>
        <v>390.7915262</v>
      </c>
      <c r="K20" s="34"/>
      <c r="L20" s="32">
        <f t="shared" si="3"/>
        <v>390.7915262</v>
      </c>
    </row>
    <row r="21" ht="24.75" customHeight="1">
      <c r="A21" s="11">
        <v>15.0</v>
      </c>
      <c r="B21" s="34" t="s">
        <v>54</v>
      </c>
      <c r="C21" s="34" t="s">
        <v>91</v>
      </c>
      <c r="D21" s="30" t="s">
        <v>94</v>
      </c>
      <c r="E21" s="35"/>
      <c r="F21" s="35" t="s">
        <v>34</v>
      </c>
      <c r="G21" s="32">
        <v>3220.273781497698</v>
      </c>
      <c r="H21" s="105"/>
      <c r="I21" s="33">
        <f t="shared" si="1"/>
        <v>26.72827239</v>
      </c>
      <c r="J21" s="33">
        <f t="shared" si="2"/>
        <v>3247.002054</v>
      </c>
      <c r="K21" s="30"/>
      <c r="L21" s="33">
        <f t="shared" si="3"/>
        <v>3247.002054</v>
      </c>
    </row>
    <row r="22" ht="24.75" customHeight="1">
      <c r="A22" s="11">
        <v>16.0</v>
      </c>
      <c r="B22" s="30" t="s">
        <v>55</v>
      </c>
      <c r="C22" s="30" t="s">
        <v>91</v>
      </c>
      <c r="D22" s="30" t="s">
        <v>94</v>
      </c>
      <c r="E22" s="100"/>
      <c r="F22" s="31" t="s">
        <v>33</v>
      </c>
      <c r="G22" s="32">
        <v>1082.506851166313</v>
      </c>
      <c r="H22" s="105"/>
      <c r="I22" s="33">
        <f t="shared" si="1"/>
        <v>8.984806865</v>
      </c>
      <c r="J22" s="33">
        <f t="shared" si="2"/>
        <v>1091.491658</v>
      </c>
      <c r="K22" s="30"/>
      <c r="L22" s="33">
        <f t="shared" si="3"/>
        <v>1091.491658</v>
      </c>
    </row>
    <row r="23" ht="24.75" customHeight="1">
      <c r="A23" s="11">
        <v>17.0</v>
      </c>
      <c r="B23" s="30" t="s">
        <v>40</v>
      </c>
      <c r="C23" s="30" t="s">
        <v>91</v>
      </c>
      <c r="D23" s="30" t="s">
        <v>94</v>
      </c>
      <c r="E23" s="100">
        <v>46152.0</v>
      </c>
      <c r="F23" s="31" t="s">
        <v>38</v>
      </c>
      <c r="G23" s="32">
        <v>116.50848653749388</v>
      </c>
      <c r="H23" s="105">
        <v>20.0</v>
      </c>
      <c r="I23" s="32">
        <f t="shared" si="1"/>
        <v>0.9670204383</v>
      </c>
      <c r="J23" s="33">
        <f t="shared" si="2"/>
        <v>137.475507</v>
      </c>
      <c r="K23" s="34"/>
      <c r="L23" s="32">
        <f t="shared" si="3"/>
        <v>137.475507</v>
      </c>
    </row>
    <row r="24" ht="24.75" customHeight="1">
      <c r="A24" s="11">
        <v>18.0</v>
      </c>
      <c r="B24" s="30" t="s">
        <v>95</v>
      </c>
      <c r="C24" s="30" t="s">
        <v>93</v>
      </c>
      <c r="D24" s="30" t="s">
        <v>94</v>
      </c>
      <c r="E24" s="100">
        <v>46136.0</v>
      </c>
      <c r="F24" s="31" t="s">
        <v>39</v>
      </c>
      <c r="G24" s="32">
        <v>1326.1519327648773</v>
      </c>
      <c r="H24" s="105">
        <v>200.0</v>
      </c>
      <c r="I24" s="33">
        <f t="shared" si="1"/>
        <v>11.00706104</v>
      </c>
      <c r="J24" s="33">
        <f t="shared" si="2"/>
        <v>1537.158994</v>
      </c>
      <c r="K24" s="30"/>
      <c r="L24" s="33">
        <f t="shared" si="3"/>
        <v>1537.158994</v>
      </c>
    </row>
    <row r="25" ht="24.75" customHeight="1">
      <c r="A25" s="11">
        <v>19.0</v>
      </c>
      <c r="B25" s="34" t="s">
        <v>97</v>
      </c>
      <c r="C25" s="30" t="s">
        <v>93</v>
      </c>
      <c r="D25" s="30" t="s">
        <v>94</v>
      </c>
      <c r="E25" s="35"/>
      <c r="F25" s="31" t="s">
        <v>34</v>
      </c>
      <c r="G25" s="32">
        <v>95.66232356453384</v>
      </c>
      <c r="H25" s="105"/>
      <c r="I25" s="32">
        <f t="shared" si="1"/>
        <v>0.7939972856</v>
      </c>
      <c r="J25" s="33">
        <f t="shared" si="2"/>
        <v>96.45632085</v>
      </c>
      <c r="K25" s="34"/>
      <c r="L25" s="32">
        <f t="shared" si="3"/>
        <v>96.45632085</v>
      </c>
    </row>
    <row r="26" ht="24.75" customHeight="1">
      <c r="A26" s="11">
        <v>20.0</v>
      </c>
      <c r="B26" s="34" t="s">
        <v>98</v>
      </c>
      <c r="C26" s="34" t="s">
        <v>93</v>
      </c>
      <c r="D26" s="30" t="s">
        <v>94</v>
      </c>
      <c r="E26" s="100">
        <v>46147.0</v>
      </c>
      <c r="F26" s="35" t="s">
        <v>38</v>
      </c>
      <c r="G26" s="32">
        <v>170.5435090874222</v>
      </c>
      <c r="H26" s="105">
        <v>15.0</v>
      </c>
      <c r="I26" s="33">
        <f t="shared" si="1"/>
        <v>1.415511125</v>
      </c>
      <c r="J26" s="33">
        <f t="shared" si="2"/>
        <v>186.9590202</v>
      </c>
      <c r="K26" s="30"/>
      <c r="L26" s="33">
        <f t="shared" si="3"/>
        <v>186.9590202</v>
      </c>
    </row>
    <row r="27" ht="24.75" customHeight="1">
      <c r="A27" s="11">
        <v>21.0</v>
      </c>
      <c r="B27" s="30" t="s">
        <v>61</v>
      </c>
      <c r="C27" s="30" t="s">
        <v>91</v>
      </c>
      <c r="D27" s="30" t="s">
        <v>94</v>
      </c>
      <c r="E27" s="35"/>
      <c r="F27" s="31" t="s">
        <v>38</v>
      </c>
      <c r="G27" s="32">
        <v>165.3192742896577</v>
      </c>
      <c r="H27" s="105"/>
      <c r="I27" s="33">
        <f t="shared" si="1"/>
        <v>1.372149977</v>
      </c>
      <c r="J27" s="33">
        <f t="shared" si="2"/>
        <v>166.6914243</v>
      </c>
      <c r="K27" s="30"/>
      <c r="L27" s="33">
        <f t="shared" si="3"/>
        <v>166.6914243</v>
      </c>
    </row>
    <row r="28" ht="24.75" customHeight="1">
      <c r="A28" s="11">
        <v>22.0</v>
      </c>
      <c r="B28" s="30" t="s">
        <v>63</v>
      </c>
      <c r="C28" s="30" t="s">
        <v>91</v>
      </c>
      <c r="D28" s="30" t="s">
        <v>94</v>
      </c>
      <c r="E28" s="35"/>
      <c r="F28" s="31" t="s">
        <v>39</v>
      </c>
      <c r="G28" s="32">
        <v>1414.5872674231803</v>
      </c>
      <c r="H28" s="105"/>
      <c r="I28" s="33">
        <f t="shared" si="1"/>
        <v>11.74107432</v>
      </c>
      <c r="J28" s="33">
        <f t="shared" si="2"/>
        <v>1426.328342</v>
      </c>
      <c r="K28" s="30"/>
      <c r="L28" s="33">
        <f t="shared" si="3"/>
        <v>1426.328342</v>
      </c>
    </row>
    <row r="29" ht="24.75" customHeight="1">
      <c r="A29" s="11">
        <v>23.0</v>
      </c>
      <c r="B29" s="34" t="s">
        <v>64</v>
      </c>
      <c r="C29" s="30" t="s">
        <v>91</v>
      </c>
      <c r="D29" s="30" t="s">
        <v>94</v>
      </c>
      <c r="E29" s="35"/>
      <c r="F29" s="31" t="s">
        <v>40</v>
      </c>
      <c r="G29" s="32">
        <v>779.3955537933127</v>
      </c>
      <c r="H29" s="105"/>
      <c r="I29" s="33">
        <f t="shared" si="1"/>
        <v>6.468983096</v>
      </c>
      <c r="J29" s="33">
        <f t="shared" si="2"/>
        <v>785.8645369</v>
      </c>
      <c r="K29" s="30"/>
      <c r="L29" s="33">
        <f t="shared" si="3"/>
        <v>785.8645369</v>
      </c>
    </row>
    <row r="30" ht="24.75" customHeight="1">
      <c r="A30" s="11">
        <v>24.0</v>
      </c>
      <c r="B30" s="30" t="s">
        <v>65</v>
      </c>
      <c r="C30" s="30" t="s">
        <v>91</v>
      </c>
      <c r="D30" s="30" t="s">
        <v>94</v>
      </c>
      <c r="E30" s="35"/>
      <c r="F30" s="31" t="s">
        <v>39</v>
      </c>
      <c r="G30" s="32">
        <v>51.199548313052546</v>
      </c>
      <c r="H30" s="105"/>
      <c r="I30" s="33">
        <f t="shared" si="1"/>
        <v>0.424956251</v>
      </c>
      <c r="J30" s="33">
        <f t="shared" si="2"/>
        <v>51.62450456</v>
      </c>
      <c r="K30" s="30"/>
      <c r="L30" s="33">
        <f t="shared" si="3"/>
        <v>51.62450456</v>
      </c>
    </row>
    <row r="31" ht="24.75" customHeight="1">
      <c r="A31" s="11">
        <v>25.0</v>
      </c>
      <c r="B31" s="30" t="s">
        <v>66</v>
      </c>
      <c r="C31" s="30" t="s">
        <v>91</v>
      </c>
      <c r="D31" s="30" t="s">
        <v>94</v>
      </c>
      <c r="E31" s="35"/>
      <c r="F31" s="31" t="s">
        <v>33</v>
      </c>
      <c r="G31" s="32">
        <v>78.50754607331618</v>
      </c>
      <c r="H31" s="105"/>
      <c r="I31" s="33">
        <f t="shared" si="1"/>
        <v>0.6516126324</v>
      </c>
      <c r="J31" s="33">
        <f t="shared" si="2"/>
        <v>79.15915871</v>
      </c>
      <c r="K31" s="30"/>
      <c r="L31" s="33">
        <f t="shared" si="3"/>
        <v>79.15915871</v>
      </c>
    </row>
    <row r="32" ht="24.75" customHeight="1">
      <c r="A32" s="11">
        <v>26.0</v>
      </c>
      <c r="B32" s="30" t="s">
        <v>99</v>
      </c>
      <c r="C32" s="30" t="s">
        <v>91</v>
      </c>
      <c r="D32" s="30" t="s">
        <v>94</v>
      </c>
      <c r="E32" s="35"/>
      <c r="F32" s="31" t="s">
        <v>38</v>
      </c>
      <c r="G32" s="32">
        <v>264.89585678827797</v>
      </c>
      <c r="H32" s="105"/>
      <c r="I32" s="33">
        <f t="shared" si="1"/>
        <v>2.198635611</v>
      </c>
      <c r="J32" s="33">
        <f t="shared" si="2"/>
        <v>267.0944924</v>
      </c>
      <c r="K32" s="30"/>
      <c r="L32" s="33">
        <f t="shared" si="3"/>
        <v>267.0944924</v>
      </c>
    </row>
    <row r="33" ht="24.75" customHeight="1">
      <c r="A33" s="11">
        <v>27.0</v>
      </c>
      <c r="B33" s="30" t="s">
        <v>101</v>
      </c>
      <c r="C33" s="30" t="s">
        <v>93</v>
      </c>
      <c r="D33" s="30" t="s">
        <v>94</v>
      </c>
      <c r="E33" s="35"/>
      <c r="F33" s="31"/>
      <c r="G33" s="32">
        <v>2229.299443069112</v>
      </c>
      <c r="H33" s="105"/>
      <c r="I33" s="33">
        <f t="shared" si="1"/>
        <v>18.50318538</v>
      </c>
      <c r="J33" s="33">
        <f t="shared" si="2"/>
        <v>2247.802628</v>
      </c>
      <c r="K33" s="30"/>
      <c r="L33" s="33">
        <f t="shared" si="3"/>
        <v>2247.802628</v>
      </c>
    </row>
    <row r="34" ht="30.0" customHeight="1">
      <c r="A34" s="11">
        <v>28.0</v>
      </c>
      <c r="B34" s="30" t="s">
        <v>102</v>
      </c>
      <c r="C34" s="30"/>
      <c r="D34" s="30" t="s">
        <v>94</v>
      </c>
      <c r="E34" s="35"/>
      <c r="F34" s="31"/>
      <c r="G34" s="32">
        <v>19.116756346713988</v>
      </c>
      <c r="H34" s="105"/>
      <c r="I34" s="33">
        <f t="shared" si="1"/>
        <v>0.1586690777</v>
      </c>
      <c r="J34" s="33">
        <f t="shared" si="2"/>
        <v>19.27542542</v>
      </c>
      <c r="K34" s="30"/>
      <c r="L34" s="33">
        <f t="shared" si="3"/>
        <v>19.27542542</v>
      </c>
    </row>
    <row r="35" ht="30.0" customHeight="1">
      <c r="A35" s="11">
        <v>29.0</v>
      </c>
      <c r="B35" s="30" t="s">
        <v>104</v>
      </c>
      <c r="C35" s="30" t="s">
        <v>93</v>
      </c>
      <c r="D35" s="30" t="s">
        <v>94</v>
      </c>
      <c r="E35" s="35"/>
      <c r="F35" s="31"/>
      <c r="G35" s="32">
        <v>495.5618858338945</v>
      </c>
      <c r="H35" s="105"/>
      <c r="I35" s="33">
        <f t="shared" si="1"/>
        <v>4.113163652</v>
      </c>
      <c r="J35" s="33">
        <f t="shared" si="2"/>
        <v>499.6750495</v>
      </c>
      <c r="K35" s="30"/>
      <c r="L35" s="33">
        <f t="shared" si="3"/>
        <v>499.6750495</v>
      </c>
    </row>
    <row r="36" ht="30.0" customHeight="1">
      <c r="A36" s="11">
        <v>30.0</v>
      </c>
      <c r="B36" s="110" t="s">
        <v>247</v>
      </c>
      <c r="C36" s="34"/>
      <c r="D36" s="34" t="s">
        <v>94</v>
      </c>
      <c r="E36" s="100">
        <v>46152.0</v>
      </c>
      <c r="F36" s="35"/>
      <c r="G36" s="32">
        <v>546.5828445786551</v>
      </c>
      <c r="H36" s="105">
        <v>20.0</v>
      </c>
      <c r="I36" s="32">
        <f t="shared" si="1"/>
        <v>4.53663761</v>
      </c>
      <c r="J36" s="32">
        <f t="shared" si="2"/>
        <v>571.1194822</v>
      </c>
      <c r="K36" s="34"/>
      <c r="L36" s="32">
        <f t="shared" si="3"/>
        <v>571.1194822</v>
      </c>
    </row>
    <row r="37" ht="30.0" customHeight="1">
      <c r="A37" s="11">
        <v>31.0</v>
      </c>
      <c r="B37" s="34" t="s">
        <v>175</v>
      </c>
      <c r="C37" s="34" t="s">
        <v>93</v>
      </c>
      <c r="D37" s="34" t="s">
        <v>94</v>
      </c>
      <c r="E37" s="100">
        <v>46143.0</v>
      </c>
      <c r="F37" s="35"/>
      <c r="G37" s="32">
        <v>1426.6483202320455</v>
      </c>
      <c r="H37" s="105">
        <v>100.0</v>
      </c>
      <c r="I37" s="32">
        <f t="shared" si="1"/>
        <v>11.84118106</v>
      </c>
      <c r="J37" s="32">
        <f t="shared" si="2"/>
        <v>1538.489501</v>
      </c>
      <c r="K37" s="34"/>
      <c r="L37" s="32">
        <f t="shared" si="3"/>
        <v>1538.489501</v>
      </c>
    </row>
    <row r="38" ht="30.0" customHeight="1">
      <c r="A38" s="11">
        <v>32.0</v>
      </c>
      <c r="B38" s="34" t="s">
        <v>108</v>
      </c>
      <c r="C38" s="34"/>
      <c r="D38" s="34" t="s">
        <v>94</v>
      </c>
      <c r="E38" s="35"/>
      <c r="F38" s="35"/>
      <c r="G38" s="32">
        <v>69.02219356269848</v>
      </c>
      <c r="H38" s="105"/>
      <c r="I38" s="32">
        <f t="shared" si="1"/>
        <v>0.5728842066</v>
      </c>
      <c r="J38" s="33">
        <f t="shared" si="2"/>
        <v>69.59507777</v>
      </c>
      <c r="K38" s="34"/>
      <c r="L38" s="32">
        <f t="shared" si="3"/>
        <v>69.59507777</v>
      </c>
    </row>
    <row r="39" ht="30.0" customHeight="1">
      <c r="A39" s="11">
        <v>33.0</v>
      </c>
      <c r="B39" s="34" t="s">
        <v>111</v>
      </c>
      <c r="C39" s="34"/>
      <c r="D39" s="34" t="s">
        <v>94</v>
      </c>
      <c r="E39" s="35"/>
      <c r="F39" s="35"/>
      <c r="G39" s="32">
        <v>74.34936894703998</v>
      </c>
      <c r="H39" s="105"/>
      <c r="I39" s="32">
        <f t="shared" si="1"/>
        <v>0.6170997623</v>
      </c>
      <c r="J39" s="33">
        <f t="shared" si="2"/>
        <v>74.96646871</v>
      </c>
      <c r="K39" s="34"/>
      <c r="L39" s="32">
        <f t="shared" si="3"/>
        <v>74.96646871</v>
      </c>
    </row>
    <row r="40" ht="30.0" customHeight="1">
      <c r="A40" s="11">
        <v>34.0</v>
      </c>
      <c r="B40" s="34" t="s">
        <v>112</v>
      </c>
      <c r="C40" s="34"/>
      <c r="D40" s="34" t="s">
        <v>94</v>
      </c>
      <c r="E40" s="35"/>
      <c r="F40" s="35"/>
      <c r="G40" s="32">
        <v>25.523006833069378</v>
      </c>
      <c r="H40" s="105"/>
      <c r="I40" s="32">
        <f t="shared" si="1"/>
        <v>0.2118409567</v>
      </c>
      <c r="J40" s="33">
        <f t="shared" si="2"/>
        <v>25.73484779</v>
      </c>
      <c r="K40" s="34"/>
      <c r="L40" s="32">
        <f t="shared" si="3"/>
        <v>25.73484779</v>
      </c>
    </row>
    <row r="41" ht="30.0" customHeight="1">
      <c r="A41" s="11">
        <v>35.0</v>
      </c>
      <c r="B41" s="34" t="s">
        <v>116</v>
      </c>
      <c r="C41" s="34"/>
      <c r="D41" s="34" t="s">
        <v>94</v>
      </c>
      <c r="E41" s="35"/>
      <c r="F41" s="35"/>
      <c r="G41" s="32">
        <v>12.500394355541403</v>
      </c>
      <c r="H41" s="105"/>
      <c r="I41" s="32">
        <f t="shared" si="1"/>
        <v>0.1037532732</v>
      </c>
      <c r="J41" s="33">
        <f t="shared" si="2"/>
        <v>12.60414763</v>
      </c>
      <c r="K41" s="34"/>
      <c r="L41" s="32">
        <f t="shared" si="3"/>
        <v>12.60414763</v>
      </c>
    </row>
    <row r="42" ht="30.0" customHeight="1">
      <c r="A42" s="11">
        <v>36.0</v>
      </c>
      <c r="B42" s="30" t="s">
        <v>118</v>
      </c>
      <c r="C42" s="30"/>
      <c r="D42" s="30" t="s">
        <v>94</v>
      </c>
      <c r="E42" s="35"/>
      <c r="F42" s="31"/>
      <c r="G42" s="32">
        <v>25.000788711082805</v>
      </c>
      <c r="H42" s="105"/>
      <c r="I42" s="33">
        <f t="shared" si="1"/>
        <v>0.2075065463</v>
      </c>
      <c r="J42" s="33">
        <f t="shared" si="2"/>
        <v>25.20829526</v>
      </c>
      <c r="K42" s="30"/>
      <c r="L42" s="33">
        <f t="shared" si="3"/>
        <v>25.20829526</v>
      </c>
    </row>
    <row r="43" ht="30.0" customHeight="1">
      <c r="A43" s="11">
        <v>37.0</v>
      </c>
      <c r="B43" s="30" t="s">
        <v>176</v>
      </c>
      <c r="C43" s="34" t="s">
        <v>93</v>
      </c>
      <c r="D43" s="34" t="s">
        <v>94</v>
      </c>
      <c r="E43" s="35"/>
      <c r="F43" s="35"/>
      <c r="G43" s="32">
        <v>271.80074531619624</v>
      </c>
      <c r="H43" s="105">
        <v>116.96</v>
      </c>
      <c r="I43" s="32">
        <f t="shared" si="1"/>
        <v>2.255946186</v>
      </c>
      <c r="J43" s="32">
        <f t="shared" si="2"/>
        <v>391.0166915</v>
      </c>
      <c r="K43" s="111">
        <v>145.85</v>
      </c>
      <c r="L43" s="32">
        <f t="shared" si="3"/>
        <v>245.1666915</v>
      </c>
    </row>
    <row r="44" ht="30.0" customHeight="1">
      <c r="A44" s="11">
        <v>38.0</v>
      </c>
      <c r="B44" s="30" t="s">
        <v>121</v>
      </c>
      <c r="C44" s="30"/>
      <c r="D44" s="30" t="s">
        <v>94</v>
      </c>
      <c r="E44" s="35"/>
      <c r="F44" s="31"/>
      <c r="G44" s="32">
        <v>12.397495145831005</v>
      </c>
      <c r="H44" s="105"/>
      <c r="I44" s="33">
        <f t="shared" si="1"/>
        <v>0.1028992097</v>
      </c>
      <c r="J44" s="33">
        <f t="shared" si="2"/>
        <v>12.50039436</v>
      </c>
      <c r="K44" s="30"/>
      <c r="L44" s="33">
        <f t="shared" si="3"/>
        <v>12.50039436</v>
      </c>
    </row>
    <row r="45" ht="30.0" customHeight="1">
      <c r="A45" s="112">
        <v>39.0</v>
      </c>
      <c r="B45" s="76" t="s">
        <v>161</v>
      </c>
      <c r="C45" s="76" t="s">
        <v>93</v>
      </c>
      <c r="D45" s="76" t="s">
        <v>94</v>
      </c>
      <c r="E45" s="77"/>
      <c r="F45" s="77"/>
      <c r="G45" s="113">
        <v>115.99933165154403</v>
      </c>
      <c r="H45" s="114"/>
      <c r="I45" s="71">
        <f t="shared" si="1"/>
        <v>0.9627944527</v>
      </c>
      <c r="J45" s="72">
        <f t="shared" si="2"/>
        <v>116.9621261</v>
      </c>
      <c r="K45" s="115">
        <v>116.96</v>
      </c>
      <c r="L45" s="33">
        <v>-3.261777072616212E-4</v>
      </c>
    </row>
    <row r="46" ht="30.0" customHeight="1">
      <c r="A46" s="11">
        <v>40.0</v>
      </c>
      <c r="B46" s="54" t="s">
        <v>126</v>
      </c>
      <c r="C46" s="13" t="s">
        <v>91</v>
      </c>
      <c r="D46" s="30" t="s">
        <v>94</v>
      </c>
      <c r="E46" s="31"/>
      <c r="F46" s="14"/>
      <c r="G46" s="59">
        <v>400.9100492610656</v>
      </c>
      <c r="H46" s="105"/>
      <c r="I46" s="33">
        <f t="shared" si="1"/>
        <v>3.327553409</v>
      </c>
      <c r="J46" s="33">
        <f t="shared" si="2"/>
        <v>404.2376027</v>
      </c>
      <c r="K46" s="115">
        <v>249.94</v>
      </c>
      <c r="L46" s="33">
        <f t="shared" ref="L46:L98" si="4">J46-K46</f>
        <v>154.2976027</v>
      </c>
    </row>
    <row r="47" ht="30.0" customHeight="1">
      <c r="A47" s="11">
        <v>41.0</v>
      </c>
      <c r="B47" s="13" t="s">
        <v>127</v>
      </c>
      <c r="C47" s="13"/>
      <c r="D47" s="30" t="s">
        <v>94</v>
      </c>
      <c r="E47" s="35"/>
      <c r="F47" s="14"/>
      <c r="G47" s="59">
        <v>48.77858970333629</v>
      </c>
      <c r="H47" s="105"/>
      <c r="I47" s="33">
        <f t="shared" si="1"/>
        <v>0.4048622945</v>
      </c>
      <c r="J47" s="33">
        <f t="shared" si="2"/>
        <v>49.183452</v>
      </c>
      <c r="K47" s="13"/>
      <c r="L47" s="33">
        <f t="shared" si="4"/>
        <v>49.183452</v>
      </c>
    </row>
    <row r="48" ht="30.0" customHeight="1">
      <c r="A48" s="11">
        <v>42.0</v>
      </c>
      <c r="B48" s="13" t="s">
        <v>128</v>
      </c>
      <c r="C48" s="13"/>
      <c r="D48" s="30" t="s">
        <v>94</v>
      </c>
      <c r="E48" s="100"/>
      <c r="F48" s="14"/>
      <c r="G48" s="59">
        <v>268.68814794710966</v>
      </c>
      <c r="H48" s="105"/>
      <c r="I48" s="33">
        <f t="shared" si="1"/>
        <v>2.230111628</v>
      </c>
      <c r="J48" s="33">
        <f t="shared" si="2"/>
        <v>270.9182596</v>
      </c>
      <c r="K48" s="13"/>
      <c r="L48" s="33">
        <f t="shared" si="4"/>
        <v>270.9182596</v>
      </c>
    </row>
    <row r="49" ht="30.0" customHeight="1">
      <c r="A49" s="11">
        <v>43.0</v>
      </c>
      <c r="B49" s="13" t="s">
        <v>177</v>
      </c>
      <c r="C49" s="13" t="s">
        <v>91</v>
      </c>
      <c r="D49" s="30" t="s">
        <v>94</v>
      </c>
      <c r="E49" s="100">
        <v>46152.0</v>
      </c>
      <c r="F49" s="14" t="s">
        <v>101</v>
      </c>
      <c r="G49" s="59">
        <v>1441.6281716871065</v>
      </c>
      <c r="H49" s="105">
        <v>10.0</v>
      </c>
      <c r="I49" s="33">
        <f t="shared" si="1"/>
        <v>11.96551383</v>
      </c>
      <c r="J49" s="33">
        <f t="shared" si="2"/>
        <v>1463.593686</v>
      </c>
      <c r="K49" s="13"/>
      <c r="L49" s="33">
        <f t="shared" si="4"/>
        <v>1463.593686</v>
      </c>
    </row>
    <row r="50" ht="30.0" customHeight="1">
      <c r="A50" s="11">
        <v>44.0</v>
      </c>
      <c r="B50" s="13" t="s">
        <v>132</v>
      </c>
      <c r="C50" s="13"/>
      <c r="D50" s="30" t="s">
        <v>94</v>
      </c>
      <c r="E50" s="35"/>
      <c r="F50" s="14"/>
      <c r="G50" s="59">
        <v>18.19096730903437</v>
      </c>
      <c r="H50" s="105"/>
      <c r="I50" s="33">
        <f t="shared" si="1"/>
        <v>0.1509850287</v>
      </c>
      <c r="J50" s="33">
        <f t="shared" si="2"/>
        <v>18.34195234</v>
      </c>
      <c r="K50" s="13"/>
      <c r="L50" s="33">
        <f t="shared" si="4"/>
        <v>18.34195234</v>
      </c>
    </row>
    <row r="51" ht="27.0" customHeight="1">
      <c r="A51" s="11">
        <v>45.0</v>
      </c>
      <c r="B51" s="13" t="s">
        <v>133</v>
      </c>
      <c r="C51" s="13" t="s">
        <v>93</v>
      </c>
      <c r="D51" s="30" t="s">
        <v>94</v>
      </c>
      <c r="E51" s="100">
        <v>46151.0</v>
      </c>
      <c r="F51" s="14"/>
      <c r="G51" s="59">
        <v>907.5081242446392</v>
      </c>
      <c r="H51" s="105">
        <v>20.0</v>
      </c>
      <c r="I51" s="33">
        <f t="shared" si="1"/>
        <v>7.532317431</v>
      </c>
      <c r="J51" s="33">
        <f t="shared" si="2"/>
        <v>935.0404417</v>
      </c>
      <c r="K51" s="13"/>
      <c r="L51" s="33">
        <f t="shared" si="4"/>
        <v>935.0404417</v>
      </c>
    </row>
    <row r="52" ht="30.0" customHeight="1">
      <c r="A52" s="11">
        <v>46.0</v>
      </c>
      <c r="B52" s="30" t="s">
        <v>134</v>
      </c>
      <c r="C52" s="13"/>
      <c r="D52" s="30" t="s">
        <v>94</v>
      </c>
      <c r="E52" s="100">
        <v>46153.0</v>
      </c>
      <c r="F52" s="14" t="s">
        <v>131</v>
      </c>
      <c r="G52" s="59">
        <v>44.288082735587366</v>
      </c>
      <c r="H52" s="105">
        <v>34.49</v>
      </c>
      <c r="I52" s="33">
        <f t="shared" si="1"/>
        <v>0.3675910867</v>
      </c>
      <c r="J52" s="33">
        <f t="shared" si="2"/>
        <v>79.14567382</v>
      </c>
      <c r="K52" s="13"/>
      <c r="L52" s="33">
        <f t="shared" si="4"/>
        <v>79.14567382</v>
      </c>
    </row>
    <row r="53" ht="30.0" customHeight="1">
      <c r="A53" s="11">
        <v>47.0</v>
      </c>
      <c r="B53" s="110" t="s">
        <v>248</v>
      </c>
      <c r="C53" s="13"/>
      <c r="D53" s="30" t="s">
        <v>94</v>
      </c>
      <c r="E53" s="100">
        <v>46153.0</v>
      </c>
      <c r="F53" s="14" t="s">
        <v>131</v>
      </c>
      <c r="G53" s="59">
        <v>575.8436292577413</v>
      </c>
      <c r="H53" s="105">
        <v>10.0</v>
      </c>
      <c r="I53" s="33">
        <f t="shared" si="1"/>
        <v>4.779502123</v>
      </c>
      <c r="J53" s="33">
        <f t="shared" si="2"/>
        <v>590.6231314</v>
      </c>
      <c r="K53" s="13"/>
      <c r="L53" s="33">
        <f t="shared" si="4"/>
        <v>590.6231314</v>
      </c>
    </row>
    <row r="54" ht="30.0" customHeight="1">
      <c r="A54" s="112">
        <v>48.0</v>
      </c>
      <c r="B54" s="67" t="s">
        <v>136</v>
      </c>
      <c r="C54" s="67"/>
      <c r="D54" s="68" t="s">
        <v>94</v>
      </c>
      <c r="E54" s="77"/>
      <c r="F54" s="69" t="s">
        <v>131</v>
      </c>
      <c r="G54" s="116">
        <v>24.288082735587363</v>
      </c>
      <c r="H54" s="114"/>
      <c r="I54" s="72">
        <f t="shared" si="1"/>
        <v>0.2015910867</v>
      </c>
      <c r="J54" s="72">
        <f t="shared" si="2"/>
        <v>24.48967382</v>
      </c>
      <c r="K54" s="115">
        <v>24.49</v>
      </c>
      <c r="L54" s="33">
        <f t="shared" si="4"/>
        <v>-0.0003261777073</v>
      </c>
    </row>
    <row r="55" ht="30.0" customHeight="1">
      <c r="A55" s="11">
        <v>49.0</v>
      </c>
      <c r="B55" s="13" t="s">
        <v>138</v>
      </c>
      <c r="C55" s="13"/>
      <c r="D55" s="30" t="s">
        <v>94</v>
      </c>
      <c r="E55" s="35"/>
      <c r="F55" s="14"/>
      <c r="G55" s="59">
        <v>12.093851882481381</v>
      </c>
      <c r="H55" s="105"/>
      <c r="I55" s="33">
        <f t="shared" si="1"/>
        <v>0.1003789706</v>
      </c>
      <c r="J55" s="33">
        <f t="shared" si="2"/>
        <v>12.19423085</v>
      </c>
      <c r="K55" s="13"/>
      <c r="L55" s="33">
        <f t="shared" si="4"/>
        <v>12.19423085</v>
      </c>
    </row>
    <row r="56" ht="30.0" customHeight="1">
      <c r="A56" s="11">
        <v>50.0</v>
      </c>
      <c r="B56" s="13" t="s">
        <v>142</v>
      </c>
      <c r="C56" s="13" t="s">
        <v>93</v>
      </c>
      <c r="D56" s="30" t="s">
        <v>94</v>
      </c>
      <c r="E56" s="100">
        <v>46158.0</v>
      </c>
      <c r="F56" s="14"/>
      <c r="G56" s="59">
        <v>185.87730123917993</v>
      </c>
      <c r="H56" s="105">
        <v>4.75</v>
      </c>
      <c r="I56" s="33">
        <f t="shared" si="1"/>
        <v>1.5427816</v>
      </c>
      <c r="J56" s="33">
        <f t="shared" si="2"/>
        <v>192.1700828</v>
      </c>
      <c r="K56" s="13"/>
      <c r="L56" s="33">
        <f t="shared" si="4"/>
        <v>192.1700828</v>
      </c>
    </row>
    <row r="57" ht="30.0" customHeight="1">
      <c r="A57" s="11">
        <v>51.0</v>
      </c>
      <c r="B57" s="13" t="s">
        <v>153</v>
      </c>
      <c r="C57" s="13" t="s">
        <v>93</v>
      </c>
      <c r="D57" s="30" t="s">
        <v>94</v>
      </c>
      <c r="E57" s="100">
        <v>46157.0</v>
      </c>
      <c r="F57" s="14"/>
      <c r="G57" s="59">
        <v>842.166540530634</v>
      </c>
      <c r="H57" s="105">
        <v>25.0</v>
      </c>
      <c r="I57" s="33">
        <f t="shared" si="1"/>
        <v>6.989982286</v>
      </c>
      <c r="J57" s="33">
        <f t="shared" si="2"/>
        <v>874.1565228</v>
      </c>
      <c r="K57" s="13"/>
      <c r="L57" s="33">
        <f t="shared" si="4"/>
        <v>874.1565228</v>
      </c>
    </row>
    <row r="58" ht="30.0" customHeight="1">
      <c r="A58" s="11">
        <v>52.0</v>
      </c>
      <c r="B58" s="13" t="s">
        <v>154</v>
      </c>
      <c r="C58" s="13"/>
      <c r="D58" s="30" t="s">
        <v>94</v>
      </c>
      <c r="E58" s="35"/>
      <c r="F58" s="14"/>
      <c r="G58" s="59">
        <v>466.74652020311487</v>
      </c>
      <c r="H58" s="105"/>
      <c r="I58" s="33">
        <f t="shared" si="1"/>
        <v>3.873996118</v>
      </c>
      <c r="J58" s="33">
        <f t="shared" si="2"/>
        <v>470.6205163</v>
      </c>
      <c r="K58" s="13"/>
      <c r="L58" s="33">
        <f t="shared" si="4"/>
        <v>470.6205163</v>
      </c>
    </row>
    <row r="59" ht="30.0" customHeight="1">
      <c r="A59" s="11">
        <v>53.0</v>
      </c>
      <c r="B59" s="13" t="s">
        <v>155</v>
      </c>
      <c r="C59" s="13"/>
      <c r="D59" s="30" t="s">
        <v>94</v>
      </c>
      <c r="E59" s="100">
        <v>46141.0</v>
      </c>
      <c r="F59" s="14"/>
      <c r="G59" s="59">
        <v>343.37863712525836</v>
      </c>
      <c r="H59" s="105">
        <v>30.0</v>
      </c>
      <c r="I59" s="33">
        <f t="shared" si="1"/>
        <v>2.850042688</v>
      </c>
      <c r="J59" s="33">
        <f t="shared" si="2"/>
        <v>376.2286798</v>
      </c>
      <c r="K59" s="13"/>
      <c r="L59" s="33">
        <f t="shared" si="4"/>
        <v>376.2286798</v>
      </c>
    </row>
    <row r="60" ht="30.0" customHeight="1">
      <c r="A60" s="11">
        <v>54.0</v>
      </c>
      <c r="B60" s="104" t="s">
        <v>249</v>
      </c>
      <c r="C60" s="13"/>
      <c r="D60" s="30" t="s">
        <v>94</v>
      </c>
      <c r="E60" s="100">
        <v>46152.0</v>
      </c>
      <c r="F60" s="14"/>
      <c r="G60" s="59">
        <v>345.21819944741026</v>
      </c>
      <c r="H60" s="105">
        <v>10.0</v>
      </c>
      <c r="I60" s="33">
        <f t="shared" si="1"/>
        <v>2.865311055</v>
      </c>
      <c r="J60" s="33">
        <f t="shared" si="2"/>
        <v>358.0835105</v>
      </c>
      <c r="K60" s="13"/>
      <c r="L60" s="33">
        <f t="shared" si="4"/>
        <v>358.0835105</v>
      </c>
    </row>
    <row r="61" ht="30.0" customHeight="1">
      <c r="A61" s="11">
        <v>55.0</v>
      </c>
      <c r="B61" s="13" t="s">
        <v>157</v>
      </c>
      <c r="C61" s="13"/>
      <c r="D61" s="30" t="s">
        <v>94</v>
      </c>
      <c r="E61" s="35"/>
      <c r="F61" s="14"/>
      <c r="G61" s="59">
        <v>27.701558131021095</v>
      </c>
      <c r="H61" s="105"/>
      <c r="I61" s="16">
        <f t="shared" si="1"/>
        <v>0.2299229325</v>
      </c>
      <c r="J61" s="33">
        <f t="shared" si="2"/>
        <v>27.93148106</v>
      </c>
      <c r="K61" s="13"/>
      <c r="L61" s="33">
        <f t="shared" si="4"/>
        <v>27.93148106</v>
      </c>
    </row>
    <row r="62" ht="30.0" customHeight="1">
      <c r="A62" s="11">
        <v>56.0</v>
      </c>
      <c r="B62" s="12" t="s">
        <v>179</v>
      </c>
      <c r="C62" s="12"/>
      <c r="D62" s="34" t="s">
        <v>94</v>
      </c>
      <c r="E62" s="100">
        <v>46144.0</v>
      </c>
      <c r="F62" s="22"/>
      <c r="G62" s="59">
        <v>1205.154667829543</v>
      </c>
      <c r="H62" s="105">
        <v>100.0</v>
      </c>
      <c r="I62" s="15">
        <f t="shared" si="1"/>
        <v>10.00278374</v>
      </c>
      <c r="J62" s="32">
        <f t="shared" si="2"/>
        <v>1315.157452</v>
      </c>
      <c r="K62" s="12"/>
      <c r="L62" s="32">
        <f t="shared" si="4"/>
        <v>1315.157452</v>
      </c>
    </row>
    <row r="63" ht="30.0" customHeight="1">
      <c r="A63" s="11">
        <v>57.0</v>
      </c>
      <c r="B63" s="13" t="s">
        <v>160</v>
      </c>
      <c r="C63" s="13"/>
      <c r="D63" s="30" t="s">
        <v>94</v>
      </c>
      <c r="E63" s="100">
        <v>46147.0</v>
      </c>
      <c r="F63" s="14"/>
      <c r="G63" s="59">
        <v>73.94849087304674</v>
      </c>
      <c r="H63" s="105">
        <v>5.0</v>
      </c>
      <c r="I63" s="16">
        <f t="shared" si="1"/>
        <v>0.6137724742</v>
      </c>
      <c r="J63" s="33">
        <f t="shared" si="2"/>
        <v>79.56226335</v>
      </c>
      <c r="K63" s="13"/>
      <c r="L63" s="33">
        <f t="shared" si="4"/>
        <v>79.56226335</v>
      </c>
    </row>
    <row r="64" ht="30.0" customHeight="1">
      <c r="A64" s="11">
        <v>58.0</v>
      </c>
      <c r="B64" s="13" t="s">
        <v>164</v>
      </c>
      <c r="C64" s="13"/>
      <c r="D64" s="30" t="s">
        <v>94</v>
      </c>
      <c r="E64" s="100">
        <v>46147.0</v>
      </c>
      <c r="F64" s="14"/>
      <c r="G64" s="59">
        <v>599.8740831859977</v>
      </c>
      <c r="H64" s="105">
        <v>50.0</v>
      </c>
      <c r="I64" s="16">
        <f t="shared" si="1"/>
        <v>4.97895489</v>
      </c>
      <c r="J64" s="33">
        <f t="shared" si="2"/>
        <v>654.8530381</v>
      </c>
      <c r="K64" s="13"/>
      <c r="L64" s="33">
        <f t="shared" si="4"/>
        <v>654.8530381</v>
      </c>
    </row>
    <row r="65" ht="30.0" customHeight="1">
      <c r="A65" s="11">
        <v>59.0</v>
      </c>
      <c r="B65" s="13" t="s">
        <v>180</v>
      </c>
      <c r="C65" s="13" t="s">
        <v>93</v>
      </c>
      <c r="D65" s="30" t="s">
        <v>94</v>
      </c>
      <c r="E65" s="100">
        <v>46147.0</v>
      </c>
      <c r="F65" s="14"/>
      <c r="G65" s="59">
        <v>453.1314130010164</v>
      </c>
      <c r="H65" s="105">
        <v>30.0</v>
      </c>
      <c r="I65" s="16">
        <f t="shared" si="1"/>
        <v>3.760990728</v>
      </c>
      <c r="J65" s="33">
        <f t="shared" si="2"/>
        <v>486.8924037</v>
      </c>
      <c r="K65" s="13"/>
      <c r="L65" s="33">
        <f t="shared" si="4"/>
        <v>486.8924037</v>
      </c>
    </row>
    <row r="66" ht="30.0" customHeight="1">
      <c r="A66" s="11">
        <v>60.0</v>
      </c>
      <c r="B66" s="13" t="s">
        <v>168</v>
      </c>
      <c r="C66" s="13"/>
      <c r="D66" s="30" t="s">
        <v>94</v>
      </c>
      <c r="E66" s="100">
        <v>46147.0</v>
      </c>
      <c r="F66" s="14"/>
      <c r="G66" s="59">
        <v>126.75345258884424</v>
      </c>
      <c r="H66" s="105">
        <v>10.0</v>
      </c>
      <c r="I66" s="16">
        <f t="shared" si="1"/>
        <v>1.052053656</v>
      </c>
      <c r="J66" s="33">
        <f t="shared" si="2"/>
        <v>137.8055062</v>
      </c>
      <c r="K66" s="13"/>
      <c r="L66" s="33">
        <f t="shared" si="4"/>
        <v>137.8055062</v>
      </c>
    </row>
    <row r="67" ht="30.0" customHeight="1">
      <c r="A67" s="11">
        <v>61.0</v>
      </c>
      <c r="B67" s="13" t="s">
        <v>169</v>
      </c>
      <c r="C67" s="13"/>
      <c r="D67" s="30" t="s">
        <v>94</v>
      </c>
      <c r="E67" s="100"/>
      <c r="F67" s="14"/>
      <c r="G67" s="59">
        <v>136.9195353794489</v>
      </c>
      <c r="H67" s="105"/>
      <c r="I67" s="16">
        <f t="shared" si="1"/>
        <v>1.136432144</v>
      </c>
      <c r="J67" s="33">
        <f t="shared" si="2"/>
        <v>138.0559675</v>
      </c>
      <c r="K67" s="13"/>
      <c r="L67" s="33">
        <f t="shared" si="4"/>
        <v>138.0559675</v>
      </c>
    </row>
    <row r="68" ht="30.0" customHeight="1">
      <c r="A68" s="11">
        <v>62.0</v>
      </c>
      <c r="B68" s="104" t="s">
        <v>250</v>
      </c>
      <c r="C68" s="13"/>
      <c r="D68" s="30" t="s">
        <v>94</v>
      </c>
      <c r="E68" s="100">
        <v>46151.0</v>
      </c>
      <c r="F68" s="14"/>
      <c r="G68" s="59">
        <v>115.45927421651244</v>
      </c>
      <c r="H68" s="105">
        <v>10.0</v>
      </c>
      <c r="I68" s="16">
        <f t="shared" si="1"/>
        <v>0.958311976</v>
      </c>
      <c r="J68" s="33">
        <f t="shared" si="2"/>
        <v>126.4175862</v>
      </c>
      <c r="K68" s="13"/>
      <c r="L68" s="33">
        <f t="shared" si="4"/>
        <v>126.4175862</v>
      </c>
    </row>
    <row r="69" ht="30.0" customHeight="1">
      <c r="A69" s="11">
        <v>63.0</v>
      </c>
      <c r="B69" s="104" t="s">
        <v>251</v>
      </c>
      <c r="C69" s="13"/>
      <c r="D69" s="30" t="s">
        <v>94</v>
      </c>
      <c r="E69" s="100">
        <v>46152.0</v>
      </c>
      <c r="F69" s="14"/>
      <c r="G69" s="59">
        <v>260.31630756424374</v>
      </c>
      <c r="H69" s="105">
        <v>11.18</v>
      </c>
      <c r="I69" s="16">
        <f t="shared" si="1"/>
        <v>2.160625353</v>
      </c>
      <c r="J69" s="33">
        <f t="shared" si="2"/>
        <v>273.6569329</v>
      </c>
      <c r="K69" s="13"/>
      <c r="L69" s="33">
        <f t="shared" si="4"/>
        <v>273.6569329</v>
      </c>
    </row>
    <row r="70" ht="30.0" customHeight="1">
      <c r="A70" s="11">
        <v>64.0</v>
      </c>
      <c r="B70" s="13" t="s">
        <v>182</v>
      </c>
      <c r="C70" s="13"/>
      <c r="D70" s="30" t="s">
        <v>94</v>
      </c>
      <c r="E70" s="35"/>
      <c r="F70" s="14"/>
      <c r="G70" s="59">
        <v>73.5691918953103</v>
      </c>
      <c r="H70" s="105"/>
      <c r="I70" s="16">
        <f t="shared" si="1"/>
        <v>0.6106242927</v>
      </c>
      <c r="J70" s="33">
        <f t="shared" si="2"/>
        <v>74.17981619</v>
      </c>
      <c r="K70" s="13"/>
      <c r="L70" s="33">
        <f t="shared" si="4"/>
        <v>74.17981619</v>
      </c>
    </row>
    <row r="71" ht="30.0" customHeight="1">
      <c r="A71" s="112">
        <v>65.0</v>
      </c>
      <c r="B71" s="67" t="s">
        <v>183</v>
      </c>
      <c r="C71" s="67"/>
      <c r="D71" s="68" t="s">
        <v>94</v>
      </c>
      <c r="E71" s="117">
        <v>46141.0</v>
      </c>
      <c r="F71" s="69"/>
      <c r="G71" s="118">
        <v>21.28</v>
      </c>
      <c r="H71" s="114"/>
      <c r="I71" s="119">
        <f t="shared" si="1"/>
        <v>0.176624</v>
      </c>
      <c r="J71" s="72">
        <f t="shared" si="2"/>
        <v>21.456624</v>
      </c>
      <c r="K71" s="115">
        <v>21.46</v>
      </c>
      <c r="L71" s="102">
        <f t="shared" si="4"/>
        <v>-0.003376</v>
      </c>
    </row>
    <row r="72" ht="30.0" customHeight="1">
      <c r="A72" s="11">
        <v>66.0</v>
      </c>
      <c r="B72" s="104" t="s">
        <v>252</v>
      </c>
      <c r="C72" s="13"/>
      <c r="D72" s="30" t="s">
        <v>94</v>
      </c>
      <c r="E72" s="100">
        <v>46151.0</v>
      </c>
      <c r="F72" s="14"/>
      <c r="G72" s="59">
        <v>181.42797931387028</v>
      </c>
      <c r="H72" s="105">
        <v>15.0</v>
      </c>
      <c r="I72" s="16">
        <f t="shared" si="1"/>
        <v>1.505852228</v>
      </c>
      <c r="J72" s="33">
        <f t="shared" si="2"/>
        <v>197.9338315</v>
      </c>
      <c r="K72" s="13"/>
      <c r="L72" s="33">
        <f t="shared" si="4"/>
        <v>197.9338315</v>
      </c>
    </row>
    <row r="73" ht="30.0" customHeight="1">
      <c r="A73" s="11">
        <v>67.0</v>
      </c>
      <c r="B73" s="98" t="s">
        <v>185</v>
      </c>
      <c r="C73" s="13"/>
      <c r="D73" s="30" t="s">
        <v>94</v>
      </c>
      <c r="E73" s="100">
        <v>46150.0</v>
      </c>
      <c r="F73" s="14"/>
      <c r="G73" s="59">
        <v>207.63776159062058</v>
      </c>
      <c r="H73" s="105">
        <v>20.0</v>
      </c>
      <c r="I73" s="16">
        <f t="shared" si="1"/>
        <v>1.723393421</v>
      </c>
      <c r="J73" s="33">
        <f t="shared" si="2"/>
        <v>229.361155</v>
      </c>
      <c r="K73" s="13"/>
      <c r="L73" s="33">
        <f t="shared" si="4"/>
        <v>229.361155</v>
      </c>
    </row>
    <row r="74" ht="30.0" customHeight="1">
      <c r="A74" s="11">
        <v>68.0</v>
      </c>
      <c r="B74" s="104" t="s">
        <v>232</v>
      </c>
      <c r="C74" s="13" t="s">
        <v>93</v>
      </c>
      <c r="D74" s="30" t="s">
        <v>94</v>
      </c>
      <c r="E74" s="100">
        <v>46148.0</v>
      </c>
      <c r="F74" s="120" t="s">
        <v>175</v>
      </c>
      <c r="G74" s="59">
        <v>952.8431356780803</v>
      </c>
      <c r="H74" s="105">
        <v>30.0</v>
      </c>
      <c r="I74" s="16">
        <f t="shared" si="1"/>
        <v>7.908598026</v>
      </c>
      <c r="J74" s="33">
        <f t="shared" si="2"/>
        <v>990.7517337</v>
      </c>
      <c r="K74" s="13"/>
      <c r="L74" s="33">
        <f t="shared" si="4"/>
        <v>990.7517337</v>
      </c>
    </row>
    <row r="75" ht="30.0" customHeight="1">
      <c r="A75" s="11">
        <v>69.0</v>
      </c>
      <c r="B75" s="104" t="s">
        <v>253</v>
      </c>
      <c r="C75" s="13"/>
      <c r="D75" s="30" t="s">
        <v>94</v>
      </c>
      <c r="E75" s="100">
        <v>46151.0</v>
      </c>
      <c r="F75" s="14"/>
      <c r="G75" s="59">
        <v>103.81888079531029</v>
      </c>
      <c r="H75" s="105">
        <v>10.0</v>
      </c>
      <c r="I75" s="16">
        <f t="shared" si="1"/>
        <v>0.8616967106</v>
      </c>
      <c r="J75" s="33">
        <f t="shared" si="2"/>
        <v>114.6805775</v>
      </c>
      <c r="K75" s="13"/>
      <c r="L75" s="33">
        <f t="shared" si="4"/>
        <v>114.6805775</v>
      </c>
    </row>
    <row r="76" ht="30.0" customHeight="1">
      <c r="A76" s="11">
        <v>70.0</v>
      </c>
      <c r="B76" s="13" t="s">
        <v>191</v>
      </c>
      <c r="C76" s="13"/>
      <c r="D76" s="30" t="s">
        <v>94</v>
      </c>
      <c r="E76" s="100"/>
      <c r="F76" s="14"/>
      <c r="G76" s="59">
        <v>466.4883324122217</v>
      </c>
      <c r="H76" s="105">
        <v>50.0</v>
      </c>
      <c r="I76" s="16">
        <f t="shared" si="1"/>
        <v>3.871853159</v>
      </c>
      <c r="J76" s="33">
        <f t="shared" si="2"/>
        <v>520.3601856</v>
      </c>
      <c r="K76" s="13"/>
      <c r="L76" s="33">
        <f t="shared" si="4"/>
        <v>520.3601856</v>
      </c>
    </row>
    <row r="77" ht="30.0" customHeight="1">
      <c r="A77" s="11">
        <v>71.0</v>
      </c>
      <c r="B77" s="13" t="s">
        <v>192</v>
      </c>
      <c r="C77" s="13"/>
      <c r="D77" s="30" t="s">
        <v>94</v>
      </c>
      <c r="E77" s="100">
        <v>46148.0</v>
      </c>
      <c r="F77" s="14"/>
      <c r="G77" s="59">
        <v>465.2120448302942</v>
      </c>
      <c r="H77" s="105">
        <v>50.0</v>
      </c>
      <c r="I77" s="16">
        <f t="shared" si="1"/>
        <v>3.861259972</v>
      </c>
      <c r="J77" s="33">
        <f t="shared" si="2"/>
        <v>519.0733048</v>
      </c>
      <c r="K77" s="13"/>
      <c r="L77" s="33">
        <f t="shared" si="4"/>
        <v>519.0733048</v>
      </c>
    </row>
    <row r="78" ht="30.0" customHeight="1">
      <c r="A78" s="11">
        <v>72.0</v>
      </c>
      <c r="B78" s="104" t="s">
        <v>233</v>
      </c>
      <c r="C78" s="13"/>
      <c r="D78" s="30" t="s">
        <v>94</v>
      </c>
      <c r="E78" s="100">
        <v>46150.0</v>
      </c>
      <c r="F78" s="14"/>
      <c r="G78" s="59">
        <v>82.01978583302808</v>
      </c>
      <c r="H78" s="105">
        <v>20.0</v>
      </c>
      <c r="I78" s="16">
        <f t="shared" si="1"/>
        <v>0.6807642224</v>
      </c>
      <c r="J78" s="33">
        <f t="shared" si="2"/>
        <v>102.7005501</v>
      </c>
      <c r="K78" s="13"/>
      <c r="L78" s="33">
        <f t="shared" si="4"/>
        <v>102.7005501</v>
      </c>
    </row>
    <row r="79" ht="30.0" customHeight="1">
      <c r="A79" s="11">
        <v>73.0</v>
      </c>
      <c r="B79" s="13" t="s">
        <v>205</v>
      </c>
      <c r="C79" s="13"/>
      <c r="D79" s="30" t="s">
        <v>94</v>
      </c>
      <c r="E79" s="100">
        <v>46155.0</v>
      </c>
      <c r="F79" s="14"/>
      <c r="G79" s="59">
        <v>51.04753200521248</v>
      </c>
      <c r="H79" s="105">
        <v>10.0</v>
      </c>
      <c r="I79" s="16">
        <f t="shared" si="1"/>
        <v>0.4236945156</v>
      </c>
      <c r="J79" s="33">
        <f t="shared" si="2"/>
        <v>61.47122652</v>
      </c>
      <c r="K79" s="13"/>
      <c r="L79" s="33">
        <f t="shared" si="4"/>
        <v>61.47122652</v>
      </c>
    </row>
    <row r="80" ht="30.0" customHeight="1">
      <c r="A80" s="11">
        <v>74.0</v>
      </c>
      <c r="B80" s="13" t="s">
        <v>206</v>
      </c>
      <c r="C80" s="13"/>
      <c r="D80" s="30" t="s">
        <v>94</v>
      </c>
      <c r="E80" s="100">
        <v>46143.0</v>
      </c>
      <c r="F80" s="14"/>
      <c r="G80" s="59">
        <v>192.42290197361663</v>
      </c>
      <c r="H80" s="105">
        <v>50.0</v>
      </c>
      <c r="I80" s="16">
        <f t="shared" si="1"/>
        <v>1.597110086</v>
      </c>
      <c r="J80" s="33">
        <f t="shared" si="2"/>
        <v>244.0200121</v>
      </c>
      <c r="K80" s="13"/>
      <c r="L80" s="33">
        <f t="shared" si="4"/>
        <v>244.0200121</v>
      </c>
    </row>
    <row r="81" ht="30.0" customHeight="1">
      <c r="A81" s="11">
        <v>75.0</v>
      </c>
      <c r="B81" s="98" t="s">
        <v>207</v>
      </c>
      <c r="C81" s="13"/>
      <c r="D81" s="30" t="s">
        <v>94</v>
      </c>
      <c r="E81" s="100">
        <v>46143.0</v>
      </c>
      <c r="F81" s="14"/>
      <c r="G81" s="59">
        <v>192.42290197361663</v>
      </c>
      <c r="H81" s="105">
        <v>50.0</v>
      </c>
      <c r="I81" s="16">
        <f t="shared" si="1"/>
        <v>1.597110086</v>
      </c>
      <c r="J81" s="33">
        <f t="shared" si="2"/>
        <v>244.0200121</v>
      </c>
      <c r="K81" s="13"/>
      <c r="L81" s="33">
        <f t="shared" si="4"/>
        <v>244.0200121</v>
      </c>
    </row>
    <row r="82" ht="30.0" customHeight="1">
      <c r="A82" s="11">
        <v>76.0</v>
      </c>
      <c r="B82" s="13" t="s">
        <v>217</v>
      </c>
      <c r="C82" s="13" t="s">
        <v>93</v>
      </c>
      <c r="D82" s="30" t="s">
        <v>94</v>
      </c>
      <c r="E82" s="121">
        <v>46157.0</v>
      </c>
      <c r="F82" s="14"/>
      <c r="G82" s="59">
        <v>142.50726538402498</v>
      </c>
      <c r="H82" s="105">
        <v>15.0</v>
      </c>
      <c r="I82" s="16">
        <f t="shared" si="1"/>
        <v>1.182810303</v>
      </c>
      <c r="J82" s="33">
        <f t="shared" si="2"/>
        <v>158.6900757</v>
      </c>
      <c r="K82" s="13"/>
      <c r="L82" s="33">
        <f t="shared" si="4"/>
        <v>158.6900757</v>
      </c>
    </row>
    <row r="83" ht="30.0" customHeight="1">
      <c r="A83" s="11">
        <v>77.0</v>
      </c>
      <c r="B83" s="104" t="s">
        <v>222</v>
      </c>
      <c r="C83" s="13"/>
      <c r="D83" s="30" t="s">
        <v>94</v>
      </c>
      <c r="E83" s="100"/>
      <c r="F83" s="14"/>
      <c r="G83" s="59">
        <v>302.49688900000007</v>
      </c>
      <c r="H83" s="105"/>
      <c r="I83" s="16">
        <f t="shared" si="1"/>
        <v>2.510724179</v>
      </c>
      <c r="J83" s="33">
        <f t="shared" si="2"/>
        <v>305.0076132</v>
      </c>
      <c r="K83" s="13"/>
      <c r="L83" s="33">
        <f t="shared" si="4"/>
        <v>305.0076132</v>
      </c>
    </row>
    <row r="84" ht="30.0" customHeight="1">
      <c r="A84" s="11">
        <v>78.0</v>
      </c>
      <c r="B84" s="13" t="s">
        <v>220</v>
      </c>
      <c r="C84" s="13"/>
      <c r="D84" s="30" t="s">
        <v>94</v>
      </c>
      <c r="E84" s="100">
        <v>46150.0</v>
      </c>
      <c r="F84" s="14"/>
      <c r="G84" s="59">
        <v>70.6660667</v>
      </c>
      <c r="H84" s="105">
        <v>20.0</v>
      </c>
      <c r="I84" s="16">
        <f t="shared" si="1"/>
        <v>0.5865283536</v>
      </c>
      <c r="J84" s="33">
        <f t="shared" si="2"/>
        <v>91.25259505</v>
      </c>
      <c r="K84" s="13"/>
      <c r="L84" s="33">
        <f t="shared" si="4"/>
        <v>91.25259505</v>
      </c>
    </row>
    <row r="85" ht="30.0" customHeight="1">
      <c r="A85" s="11">
        <v>79.0</v>
      </c>
      <c r="B85" s="104" t="s">
        <v>223</v>
      </c>
      <c r="C85" s="13"/>
      <c r="D85" s="30" t="s">
        <v>94</v>
      </c>
      <c r="E85" s="100">
        <v>46148.0</v>
      </c>
      <c r="F85" s="14"/>
      <c r="G85" s="59">
        <v>40.166</v>
      </c>
      <c r="H85" s="105">
        <v>20.0</v>
      </c>
      <c r="I85" s="16">
        <f t="shared" si="1"/>
        <v>0.3333778</v>
      </c>
      <c r="J85" s="33">
        <f t="shared" si="2"/>
        <v>60.4993778</v>
      </c>
      <c r="K85" s="13"/>
      <c r="L85" s="33">
        <f t="shared" si="4"/>
        <v>60.4993778</v>
      </c>
    </row>
    <row r="86" ht="30.0" customHeight="1">
      <c r="A86" s="11">
        <v>80.0</v>
      </c>
      <c r="B86" s="104" t="s">
        <v>224</v>
      </c>
      <c r="C86" s="13"/>
      <c r="D86" s="30" t="s">
        <v>94</v>
      </c>
      <c r="E86" s="100">
        <v>46143.0</v>
      </c>
      <c r="F86" s="14"/>
      <c r="G86" s="59">
        <v>50.083</v>
      </c>
      <c r="H86" s="105">
        <v>50.0</v>
      </c>
      <c r="I86" s="16">
        <f t="shared" si="1"/>
        <v>0.4156889</v>
      </c>
      <c r="J86" s="33">
        <f t="shared" si="2"/>
        <v>100.4986889</v>
      </c>
      <c r="K86" s="13"/>
      <c r="L86" s="33">
        <f t="shared" si="4"/>
        <v>100.4986889</v>
      </c>
    </row>
    <row r="87" ht="30.0" customHeight="1">
      <c r="A87" s="11">
        <v>81.0</v>
      </c>
      <c r="B87" s="13" t="s">
        <v>225</v>
      </c>
      <c r="C87" s="13"/>
      <c r="D87" s="30" t="s">
        <v>94</v>
      </c>
      <c r="E87" s="100">
        <v>46144.0</v>
      </c>
      <c r="F87" s="14"/>
      <c r="G87" s="59">
        <v>25.083</v>
      </c>
      <c r="H87" s="105">
        <v>20.0</v>
      </c>
      <c r="I87" s="16">
        <f t="shared" si="1"/>
        <v>0.2081889</v>
      </c>
      <c r="J87" s="33">
        <f t="shared" si="2"/>
        <v>45.2911889</v>
      </c>
      <c r="K87" s="13"/>
      <c r="L87" s="33">
        <f t="shared" si="4"/>
        <v>45.2911889</v>
      </c>
    </row>
    <row r="88" ht="30.0" customHeight="1">
      <c r="A88" s="11">
        <v>82.0</v>
      </c>
      <c r="B88" s="104" t="s">
        <v>226</v>
      </c>
      <c r="C88" s="13"/>
      <c r="D88" s="30" t="s">
        <v>94</v>
      </c>
      <c r="E88" s="100"/>
      <c r="F88" s="14"/>
      <c r="G88" s="59">
        <v>10.083</v>
      </c>
      <c r="H88" s="105"/>
      <c r="I88" s="16">
        <f t="shared" si="1"/>
        <v>0.0836889</v>
      </c>
      <c r="J88" s="33">
        <f t="shared" si="2"/>
        <v>10.1666889</v>
      </c>
      <c r="K88" s="13"/>
      <c r="L88" s="33">
        <f t="shared" si="4"/>
        <v>10.1666889</v>
      </c>
    </row>
    <row r="89" ht="30.0" customHeight="1">
      <c r="A89" s="11">
        <v>83.0</v>
      </c>
      <c r="B89" s="104" t="s">
        <v>227</v>
      </c>
      <c r="C89" s="13"/>
      <c r="D89" s="30" t="s">
        <v>94</v>
      </c>
      <c r="E89" s="100">
        <v>46150.0</v>
      </c>
      <c r="F89" s="14"/>
      <c r="G89" s="59">
        <v>20.083</v>
      </c>
      <c r="H89" s="105">
        <v>10.0</v>
      </c>
      <c r="I89" s="16">
        <f t="shared" si="1"/>
        <v>0.1666889</v>
      </c>
      <c r="J89" s="33">
        <f t="shared" si="2"/>
        <v>30.2496889</v>
      </c>
      <c r="K89" s="13"/>
      <c r="L89" s="33">
        <f t="shared" si="4"/>
        <v>30.2496889</v>
      </c>
    </row>
    <row r="90" ht="30.0" customHeight="1">
      <c r="A90" s="11">
        <v>84.0</v>
      </c>
      <c r="B90" s="104" t="s">
        <v>228</v>
      </c>
      <c r="C90" s="13"/>
      <c r="D90" s="30" t="s">
        <v>94</v>
      </c>
      <c r="E90" s="100">
        <v>46151.0</v>
      </c>
      <c r="F90" s="14"/>
      <c r="G90" s="59">
        <v>40.166</v>
      </c>
      <c r="H90" s="105">
        <v>20.0</v>
      </c>
      <c r="I90" s="16">
        <f t="shared" si="1"/>
        <v>0.3333778</v>
      </c>
      <c r="J90" s="33">
        <f t="shared" si="2"/>
        <v>60.4993778</v>
      </c>
      <c r="K90" s="13"/>
      <c r="L90" s="33">
        <f t="shared" si="4"/>
        <v>60.4993778</v>
      </c>
    </row>
    <row r="91" ht="30.0" customHeight="1">
      <c r="A91" s="11">
        <v>85.0</v>
      </c>
      <c r="B91" s="104" t="s">
        <v>229</v>
      </c>
      <c r="C91" s="13"/>
      <c r="D91" s="30" t="s">
        <v>94</v>
      </c>
      <c r="E91" s="100">
        <v>46155.0</v>
      </c>
      <c r="F91" s="14"/>
      <c r="G91" s="59">
        <v>40.166</v>
      </c>
      <c r="H91" s="105">
        <v>20.0</v>
      </c>
      <c r="I91" s="16">
        <f t="shared" si="1"/>
        <v>0.3333778</v>
      </c>
      <c r="J91" s="33">
        <f t="shared" si="2"/>
        <v>60.4993778</v>
      </c>
      <c r="K91" s="13"/>
      <c r="L91" s="33">
        <f t="shared" si="4"/>
        <v>60.4993778</v>
      </c>
    </row>
    <row r="92" ht="30.0" customHeight="1">
      <c r="A92" s="11">
        <v>86.0</v>
      </c>
      <c r="B92" s="104" t="s">
        <v>234</v>
      </c>
      <c r="C92" s="13"/>
      <c r="D92" s="30" t="s">
        <v>94</v>
      </c>
      <c r="E92" s="100">
        <v>46143.0</v>
      </c>
      <c r="F92" s="14"/>
      <c r="G92" s="59">
        <v>45.0</v>
      </c>
      <c r="H92" s="105">
        <v>25.0</v>
      </c>
      <c r="I92" s="16">
        <f t="shared" si="1"/>
        <v>0.3735</v>
      </c>
      <c r="J92" s="33">
        <f t="shared" si="2"/>
        <v>70.3735</v>
      </c>
      <c r="K92" s="13"/>
      <c r="L92" s="33">
        <f t="shared" si="4"/>
        <v>70.3735</v>
      </c>
    </row>
    <row r="93" ht="30.0" customHeight="1">
      <c r="A93" s="11">
        <v>87.0</v>
      </c>
      <c r="B93" s="104" t="s">
        <v>235</v>
      </c>
      <c r="C93" s="13"/>
      <c r="D93" s="30" t="s">
        <v>94</v>
      </c>
      <c r="E93" s="100">
        <v>46143.0</v>
      </c>
      <c r="F93" s="14"/>
      <c r="G93" s="59">
        <v>45.0</v>
      </c>
      <c r="H93" s="105">
        <v>25.0</v>
      </c>
      <c r="I93" s="16">
        <f t="shared" si="1"/>
        <v>0.3735</v>
      </c>
      <c r="J93" s="33">
        <f t="shared" si="2"/>
        <v>70.3735</v>
      </c>
      <c r="K93" s="13"/>
      <c r="L93" s="33">
        <f t="shared" si="4"/>
        <v>70.3735</v>
      </c>
    </row>
    <row r="94" ht="30.0" customHeight="1">
      <c r="A94" s="11">
        <v>88.0</v>
      </c>
      <c r="B94" s="104" t="s">
        <v>236</v>
      </c>
      <c r="C94" s="13"/>
      <c r="D94" s="30" t="s">
        <v>94</v>
      </c>
      <c r="E94" s="100">
        <v>46155.0</v>
      </c>
      <c r="F94" s="14"/>
      <c r="G94" s="59">
        <v>70.0</v>
      </c>
      <c r="H94" s="105">
        <v>30.0</v>
      </c>
      <c r="I94" s="16">
        <f t="shared" si="1"/>
        <v>0.581</v>
      </c>
      <c r="J94" s="33">
        <f t="shared" si="2"/>
        <v>100.581</v>
      </c>
      <c r="K94" s="13"/>
      <c r="L94" s="33">
        <f t="shared" si="4"/>
        <v>100.581</v>
      </c>
    </row>
    <row r="95" ht="30.0" customHeight="1">
      <c r="A95" s="11">
        <v>89.0</v>
      </c>
      <c r="B95" s="104" t="s">
        <v>237</v>
      </c>
      <c r="C95" s="13"/>
      <c r="D95" s="30" t="s">
        <v>94</v>
      </c>
      <c r="E95" s="100">
        <v>46143.0</v>
      </c>
      <c r="F95" s="14"/>
      <c r="G95" s="59">
        <v>50.0</v>
      </c>
      <c r="H95" s="105">
        <v>30.0</v>
      </c>
      <c r="I95" s="16">
        <f t="shared" si="1"/>
        <v>0.415</v>
      </c>
      <c r="J95" s="33">
        <f t="shared" si="2"/>
        <v>80.415</v>
      </c>
      <c r="K95" s="13"/>
      <c r="L95" s="33">
        <f t="shared" si="4"/>
        <v>80.415</v>
      </c>
    </row>
    <row r="96" ht="30.0" customHeight="1">
      <c r="A96" s="11">
        <v>90.0</v>
      </c>
      <c r="B96" s="104" t="s">
        <v>238</v>
      </c>
      <c r="C96" s="13"/>
      <c r="D96" s="30" t="s">
        <v>94</v>
      </c>
      <c r="E96" s="100">
        <v>46155.0</v>
      </c>
      <c r="F96" s="14"/>
      <c r="G96" s="59">
        <v>100.0</v>
      </c>
      <c r="H96" s="105">
        <v>1.0</v>
      </c>
      <c r="I96" s="16">
        <f t="shared" si="1"/>
        <v>0.83</v>
      </c>
      <c r="J96" s="33">
        <f t="shared" si="2"/>
        <v>101.83</v>
      </c>
      <c r="K96" s="13"/>
      <c r="L96" s="33">
        <f t="shared" si="4"/>
        <v>101.83</v>
      </c>
    </row>
    <row r="97" ht="30.0" customHeight="1">
      <c r="A97" s="11">
        <v>91.0</v>
      </c>
      <c r="B97" s="104" t="s">
        <v>239</v>
      </c>
      <c r="C97" s="13"/>
      <c r="D97" s="30" t="s">
        <v>94</v>
      </c>
      <c r="E97" s="100">
        <v>46157.0</v>
      </c>
      <c r="F97" s="14"/>
      <c r="G97" s="59">
        <v>50.0</v>
      </c>
      <c r="H97" s="105">
        <v>50.0</v>
      </c>
      <c r="I97" s="16">
        <f t="shared" si="1"/>
        <v>0.415</v>
      </c>
      <c r="J97" s="33">
        <f t="shared" si="2"/>
        <v>100.415</v>
      </c>
      <c r="K97" s="13"/>
      <c r="L97" s="33">
        <f t="shared" si="4"/>
        <v>100.415</v>
      </c>
    </row>
    <row r="98" ht="30.0" customHeight="1">
      <c r="A98" s="11">
        <v>92.0</v>
      </c>
      <c r="B98" s="104" t="s">
        <v>240</v>
      </c>
      <c r="C98" s="13"/>
      <c r="D98" s="30" t="s">
        <v>94</v>
      </c>
      <c r="E98" s="100">
        <v>46150.0</v>
      </c>
      <c r="F98" s="14"/>
      <c r="G98" s="59">
        <v>10.0</v>
      </c>
      <c r="H98" s="105">
        <v>15.0</v>
      </c>
      <c r="I98" s="16">
        <f t="shared" si="1"/>
        <v>0.083</v>
      </c>
      <c r="J98" s="33">
        <f t="shared" si="2"/>
        <v>25.083</v>
      </c>
      <c r="K98" s="13"/>
      <c r="L98" s="33">
        <f t="shared" si="4"/>
        <v>25.083</v>
      </c>
    </row>
    <row r="99" ht="15.0" customHeight="1">
      <c r="A99" s="17"/>
      <c r="B99" s="13"/>
      <c r="C99" s="13"/>
      <c r="D99" s="13"/>
      <c r="E99" s="13"/>
      <c r="F99" s="13"/>
      <c r="G99" s="55">
        <f t="shared" ref="G99:L99" si="5">SUM(G7:G98)</f>
        <v>75450.26283</v>
      </c>
      <c r="H99" s="55">
        <f t="shared" si="5"/>
        <v>1719.92</v>
      </c>
      <c r="I99" s="55">
        <f t="shared" si="5"/>
        <v>626.2371815</v>
      </c>
      <c r="J99" s="55">
        <f t="shared" si="5"/>
        <v>77796.42002</v>
      </c>
      <c r="K99" s="55">
        <f t="shared" si="5"/>
        <v>558.7</v>
      </c>
      <c r="L99" s="55">
        <f t="shared" si="5"/>
        <v>77237.71756</v>
      </c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6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21"/>
      <c r="L101" s="4"/>
    </row>
    <row r="102" ht="15.75" customHeight="1"/>
    <row r="103" ht="15.75" customHeight="1"/>
    <row r="104" ht="15.75" customHeight="1"/>
    <row r="105" ht="15.75" customHeight="1">
      <c r="H105" s="107"/>
    </row>
    <row r="106" ht="15.75" customHeight="1">
      <c r="H106" s="107"/>
    </row>
    <row r="107" ht="15.75" customHeight="1">
      <c r="H107" s="107"/>
    </row>
    <row r="108" ht="15.75" customHeight="1">
      <c r="H108" s="107"/>
    </row>
    <row r="109" ht="15.75" customHeight="1">
      <c r="H109" s="107"/>
    </row>
    <row r="110" ht="15.75" customHeight="1">
      <c r="H110" s="107"/>
    </row>
    <row r="111" ht="15.75" customHeight="1">
      <c r="H111" s="107"/>
    </row>
    <row r="112" ht="15.75" customHeight="1">
      <c r="H112" s="107"/>
    </row>
    <row r="113" ht="15.75" customHeight="1">
      <c r="H113" s="107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</sheetData>
  <autoFilter ref="$A$6:$L$99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2.71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>
      <c r="A5" s="99" t="s">
        <v>254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</row>
    <row r="7" ht="24.75" customHeight="1">
      <c r="A7" s="11">
        <v>1.0</v>
      </c>
      <c r="B7" s="30" t="s">
        <v>131</v>
      </c>
      <c r="C7" s="30" t="s">
        <v>91</v>
      </c>
      <c r="D7" s="30" t="s">
        <v>92</v>
      </c>
      <c r="E7" s="100"/>
      <c r="F7" s="31"/>
      <c r="G7" s="93">
        <v>5697.741143898558</v>
      </c>
      <c r="H7" s="105"/>
      <c r="I7" s="93">
        <f t="shared" ref="I7:I101" si="1">G7*0.83%</f>
        <v>47.29125149</v>
      </c>
      <c r="J7" s="93">
        <f t="shared" ref="J7:J101" si="2">G7+H7+I7</f>
        <v>5745.032395</v>
      </c>
      <c r="K7" s="114"/>
      <c r="L7" s="93">
        <f t="shared" ref="L7:L44" si="3">J7-K7</f>
        <v>5745.032395</v>
      </c>
    </row>
    <row r="8" ht="24.75" customHeight="1">
      <c r="A8" s="11">
        <v>2.0</v>
      </c>
      <c r="B8" s="30" t="s">
        <v>33</v>
      </c>
      <c r="C8" s="30" t="s">
        <v>91</v>
      </c>
      <c r="D8" s="34" t="s">
        <v>209</v>
      </c>
      <c r="E8" s="100"/>
      <c r="F8" s="31"/>
      <c r="G8" s="93">
        <v>9662.44362083694</v>
      </c>
      <c r="H8" s="105"/>
      <c r="I8" s="93">
        <f t="shared" si="1"/>
        <v>80.19828205</v>
      </c>
      <c r="J8" s="93">
        <f t="shared" si="2"/>
        <v>9742.641903</v>
      </c>
      <c r="K8" s="114"/>
      <c r="L8" s="93">
        <f t="shared" si="3"/>
        <v>9742.641903</v>
      </c>
    </row>
    <row r="9" ht="24.75" customHeight="1">
      <c r="A9" s="11">
        <v>3.0</v>
      </c>
      <c r="B9" s="30" t="s">
        <v>34</v>
      </c>
      <c r="C9" s="30" t="s">
        <v>91</v>
      </c>
      <c r="D9" s="30" t="s">
        <v>92</v>
      </c>
      <c r="E9" s="100"/>
      <c r="F9" s="31"/>
      <c r="G9" s="93">
        <v>9906.887950386888</v>
      </c>
      <c r="H9" s="105"/>
      <c r="I9" s="93">
        <f t="shared" si="1"/>
        <v>82.22716999</v>
      </c>
      <c r="J9" s="93">
        <f t="shared" si="2"/>
        <v>9989.11512</v>
      </c>
      <c r="K9" s="114"/>
      <c r="L9" s="93">
        <f t="shared" si="3"/>
        <v>9989.11512</v>
      </c>
    </row>
    <row r="10" ht="24.75" customHeight="1">
      <c r="A10" s="11">
        <v>4.0</v>
      </c>
      <c r="B10" s="34" t="s">
        <v>35</v>
      </c>
      <c r="C10" s="34" t="s">
        <v>93</v>
      </c>
      <c r="D10" s="34" t="s">
        <v>92</v>
      </c>
      <c r="E10" s="35"/>
      <c r="F10" s="31" t="s">
        <v>101</v>
      </c>
      <c r="G10" s="93">
        <v>235.63479086544967</v>
      </c>
      <c r="H10" s="105"/>
      <c r="I10" s="93">
        <f t="shared" si="1"/>
        <v>1.955768764</v>
      </c>
      <c r="J10" s="93">
        <f t="shared" si="2"/>
        <v>237.5905596</v>
      </c>
      <c r="K10" s="114"/>
      <c r="L10" s="93">
        <f t="shared" si="3"/>
        <v>237.5905596</v>
      </c>
    </row>
    <row r="11" ht="24.75" customHeight="1">
      <c r="A11" s="11">
        <v>5.0</v>
      </c>
      <c r="B11" s="34" t="s">
        <v>189</v>
      </c>
      <c r="C11" s="34" t="s">
        <v>91</v>
      </c>
      <c r="D11" s="34" t="s">
        <v>92</v>
      </c>
      <c r="E11" s="100"/>
      <c r="F11" s="35"/>
      <c r="G11" s="93">
        <v>831.5388757364855</v>
      </c>
      <c r="H11" s="105"/>
      <c r="I11" s="93">
        <f t="shared" si="1"/>
        <v>6.901772669</v>
      </c>
      <c r="J11" s="93">
        <f t="shared" si="2"/>
        <v>838.4406484</v>
      </c>
      <c r="K11" s="114"/>
      <c r="L11" s="93">
        <f t="shared" si="3"/>
        <v>838.4406484</v>
      </c>
    </row>
    <row r="12" ht="24.75" customHeight="1">
      <c r="A12" s="11">
        <v>6.0</v>
      </c>
      <c r="B12" s="34" t="s">
        <v>37</v>
      </c>
      <c r="C12" s="34" t="s">
        <v>91</v>
      </c>
      <c r="D12" s="34" t="s">
        <v>92</v>
      </c>
      <c r="E12" s="100"/>
      <c r="F12" s="35"/>
      <c r="G12" s="93">
        <v>1870.6891528948397</v>
      </c>
      <c r="H12" s="105"/>
      <c r="I12" s="93">
        <f t="shared" si="1"/>
        <v>15.52671997</v>
      </c>
      <c r="J12" s="93">
        <f t="shared" si="2"/>
        <v>1886.215873</v>
      </c>
      <c r="K12" s="114"/>
      <c r="L12" s="93">
        <f t="shared" si="3"/>
        <v>1886.215873</v>
      </c>
    </row>
    <row r="13" ht="24.75" customHeight="1">
      <c r="A13" s="11">
        <v>7.0</v>
      </c>
      <c r="B13" s="34" t="s">
        <v>38</v>
      </c>
      <c r="C13" s="34" t="s">
        <v>91</v>
      </c>
      <c r="D13" s="34" t="s">
        <v>92</v>
      </c>
      <c r="E13" s="100"/>
      <c r="F13" s="35"/>
      <c r="G13" s="93">
        <v>10065.3319517294</v>
      </c>
      <c r="H13" s="105"/>
      <c r="I13" s="93">
        <f t="shared" si="1"/>
        <v>83.5422552</v>
      </c>
      <c r="J13" s="93">
        <f t="shared" si="2"/>
        <v>10148.87421</v>
      </c>
      <c r="K13" s="114"/>
      <c r="L13" s="93">
        <f t="shared" si="3"/>
        <v>10148.87421</v>
      </c>
    </row>
    <row r="14" ht="24.75" customHeight="1">
      <c r="A14" s="11">
        <v>8.0</v>
      </c>
      <c r="B14" s="30" t="s">
        <v>173</v>
      </c>
      <c r="C14" s="30" t="s">
        <v>91</v>
      </c>
      <c r="D14" s="30" t="s">
        <v>92</v>
      </c>
      <c r="E14" s="100">
        <v>46181.0</v>
      </c>
      <c r="F14" s="31"/>
      <c r="G14" s="93">
        <v>4275.080618649096</v>
      </c>
      <c r="H14" s="105">
        <v>100.0</v>
      </c>
      <c r="I14" s="93">
        <f t="shared" si="1"/>
        <v>35.48316913</v>
      </c>
      <c r="J14" s="93">
        <f t="shared" si="2"/>
        <v>4410.563788</v>
      </c>
      <c r="K14" s="114"/>
      <c r="L14" s="93">
        <f t="shared" si="3"/>
        <v>4410.563788</v>
      </c>
    </row>
    <row r="15" ht="24.75" customHeight="1">
      <c r="A15" s="11">
        <v>9.0</v>
      </c>
      <c r="B15" s="30" t="s">
        <v>174</v>
      </c>
      <c r="C15" s="30" t="s">
        <v>91</v>
      </c>
      <c r="D15" s="30" t="s">
        <v>94</v>
      </c>
      <c r="E15" s="100">
        <v>46181.0</v>
      </c>
      <c r="F15" s="31"/>
      <c r="G15" s="93">
        <v>4714.703397871342</v>
      </c>
      <c r="H15" s="105">
        <v>20.0</v>
      </c>
      <c r="I15" s="93">
        <f t="shared" si="1"/>
        <v>39.1320382</v>
      </c>
      <c r="J15" s="93">
        <f t="shared" si="2"/>
        <v>4773.835436</v>
      </c>
      <c r="K15" s="114"/>
      <c r="L15" s="93">
        <f t="shared" si="3"/>
        <v>4773.835436</v>
      </c>
    </row>
    <row r="16" ht="24.75" customHeight="1">
      <c r="A16" s="11">
        <v>10.0</v>
      </c>
      <c r="B16" s="30" t="s">
        <v>49</v>
      </c>
      <c r="C16" s="30" t="s">
        <v>91</v>
      </c>
      <c r="D16" s="30" t="s">
        <v>94</v>
      </c>
      <c r="E16" s="100">
        <v>46182.0</v>
      </c>
      <c r="F16" s="31" t="s">
        <v>38</v>
      </c>
      <c r="G16" s="93">
        <v>374.8793660287064</v>
      </c>
      <c r="H16" s="105">
        <v>10.0</v>
      </c>
      <c r="I16" s="93">
        <f t="shared" si="1"/>
        <v>3.111498738</v>
      </c>
      <c r="J16" s="93">
        <f t="shared" si="2"/>
        <v>387.9908648</v>
      </c>
      <c r="K16" s="114"/>
      <c r="L16" s="93">
        <f t="shared" si="3"/>
        <v>387.9908648</v>
      </c>
    </row>
    <row r="17" ht="24.75" customHeight="1">
      <c r="A17" s="11">
        <v>11.0</v>
      </c>
      <c r="B17" s="30" t="s">
        <v>58</v>
      </c>
      <c r="C17" s="30" t="s">
        <v>93</v>
      </c>
      <c r="D17" s="30" t="s">
        <v>94</v>
      </c>
      <c r="E17" s="100">
        <v>46181.0</v>
      </c>
      <c r="F17" s="31" t="s">
        <v>39</v>
      </c>
      <c r="G17" s="93">
        <v>708.3080569702919</v>
      </c>
      <c r="H17" s="105">
        <v>25.0</v>
      </c>
      <c r="I17" s="93">
        <f t="shared" si="1"/>
        <v>5.878956873</v>
      </c>
      <c r="J17" s="93">
        <f t="shared" si="2"/>
        <v>739.1870138</v>
      </c>
      <c r="K17" s="114"/>
      <c r="L17" s="93">
        <f t="shared" si="3"/>
        <v>739.1870138</v>
      </c>
    </row>
    <row r="18" ht="24.75" customHeight="1">
      <c r="A18" s="11">
        <v>12.0</v>
      </c>
      <c r="B18" s="30" t="s">
        <v>51</v>
      </c>
      <c r="C18" s="30" t="s">
        <v>91</v>
      </c>
      <c r="D18" s="30" t="s">
        <v>94</v>
      </c>
      <c r="E18" s="35"/>
      <c r="F18" s="31" t="s">
        <v>34</v>
      </c>
      <c r="G18" s="93">
        <v>130.0754338804042</v>
      </c>
      <c r="H18" s="105"/>
      <c r="I18" s="93">
        <f t="shared" si="1"/>
        <v>1.079626101</v>
      </c>
      <c r="J18" s="93">
        <f t="shared" si="2"/>
        <v>131.15506</v>
      </c>
      <c r="K18" s="114"/>
      <c r="L18" s="93">
        <f t="shared" si="3"/>
        <v>131.15506</v>
      </c>
    </row>
    <row r="19" ht="24.75" customHeight="1">
      <c r="A19" s="11">
        <v>13.0</v>
      </c>
      <c r="B19" s="110" t="s">
        <v>246</v>
      </c>
      <c r="C19" s="30" t="s">
        <v>91</v>
      </c>
      <c r="D19" s="30" t="s">
        <v>94</v>
      </c>
      <c r="E19" s="100"/>
      <c r="F19" s="31" t="s">
        <v>38</v>
      </c>
      <c r="G19" s="93">
        <v>102.96323256212914</v>
      </c>
      <c r="H19" s="105"/>
      <c r="I19" s="93">
        <f t="shared" si="1"/>
        <v>0.8545948303</v>
      </c>
      <c r="J19" s="93">
        <f t="shared" si="2"/>
        <v>103.8178274</v>
      </c>
      <c r="K19" s="114"/>
      <c r="L19" s="93">
        <f t="shared" si="3"/>
        <v>103.8178274</v>
      </c>
    </row>
    <row r="20" ht="27.75" customHeight="1">
      <c r="A20" s="11">
        <v>14.0</v>
      </c>
      <c r="B20" s="30" t="s">
        <v>72</v>
      </c>
      <c r="C20" s="30" t="s">
        <v>91</v>
      </c>
      <c r="D20" s="30" t="s">
        <v>94</v>
      </c>
      <c r="E20" s="35"/>
      <c r="F20" s="31" t="s">
        <v>38</v>
      </c>
      <c r="G20" s="93">
        <v>390.79152620151484</v>
      </c>
      <c r="H20" s="105"/>
      <c r="I20" s="93">
        <f t="shared" si="1"/>
        <v>3.243569667</v>
      </c>
      <c r="J20" s="93">
        <f t="shared" si="2"/>
        <v>394.0350959</v>
      </c>
      <c r="K20" s="114"/>
      <c r="L20" s="93">
        <f t="shared" si="3"/>
        <v>394.0350959</v>
      </c>
    </row>
    <row r="21" ht="24.75" customHeight="1">
      <c r="A21" s="11">
        <v>15.0</v>
      </c>
      <c r="B21" s="34" t="s">
        <v>54</v>
      </c>
      <c r="C21" s="34" t="s">
        <v>91</v>
      </c>
      <c r="D21" s="30" t="s">
        <v>94</v>
      </c>
      <c r="E21" s="35"/>
      <c r="F21" s="35" t="s">
        <v>34</v>
      </c>
      <c r="G21" s="93">
        <v>3247.002053884129</v>
      </c>
      <c r="H21" s="105"/>
      <c r="I21" s="93">
        <f t="shared" si="1"/>
        <v>26.95011705</v>
      </c>
      <c r="J21" s="93">
        <f t="shared" si="2"/>
        <v>3273.952171</v>
      </c>
      <c r="K21" s="114"/>
      <c r="L21" s="93">
        <f t="shared" si="3"/>
        <v>3273.952171</v>
      </c>
    </row>
    <row r="22" ht="24.75" customHeight="1">
      <c r="A22" s="11">
        <v>16.0</v>
      </c>
      <c r="B22" s="30" t="s">
        <v>55</v>
      </c>
      <c r="C22" s="30" t="s">
        <v>91</v>
      </c>
      <c r="D22" s="30" t="s">
        <v>94</v>
      </c>
      <c r="E22" s="100">
        <v>46186.0</v>
      </c>
      <c r="F22" s="31" t="s">
        <v>33</v>
      </c>
      <c r="G22" s="93">
        <v>1091.4916580309934</v>
      </c>
      <c r="H22" s="105">
        <v>50.0</v>
      </c>
      <c r="I22" s="93">
        <f t="shared" si="1"/>
        <v>9.059380762</v>
      </c>
      <c r="J22" s="93">
        <f t="shared" si="2"/>
        <v>1150.551039</v>
      </c>
      <c r="K22" s="114"/>
      <c r="L22" s="93">
        <f t="shared" si="3"/>
        <v>1150.551039</v>
      </c>
    </row>
    <row r="23" ht="24.75" customHeight="1">
      <c r="A23" s="11">
        <v>17.0</v>
      </c>
      <c r="B23" s="30" t="s">
        <v>40</v>
      </c>
      <c r="C23" s="30" t="s">
        <v>91</v>
      </c>
      <c r="D23" s="30" t="s">
        <v>94</v>
      </c>
      <c r="E23" s="100"/>
      <c r="F23" s="31" t="s">
        <v>38</v>
      </c>
      <c r="G23" s="93">
        <v>137.47550697575505</v>
      </c>
      <c r="H23" s="105"/>
      <c r="I23" s="93">
        <f t="shared" si="1"/>
        <v>1.141046708</v>
      </c>
      <c r="J23" s="93">
        <f t="shared" si="2"/>
        <v>138.6165537</v>
      </c>
      <c r="K23" s="114"/>
      <c r="L23" s="93">
        <f t="shared" si="3"/>
        <v>138.6165537</v>
      </c>
    </row>
    <row r="24" ht="24.75" customHeight="1">
      <c r="A24" s="11">
        <v>18.0</v>
      </c>
      <c r="B24" s="30" t="s">
        <v>95</v>
      </c>
      <c r="C24" s="30" t="s">
        <v>93</v>
      </c>
      <c r="D24" s="30" t="s">
        <v>94</v>
      </c>
      <c r="E24" s="100">
        <v>46184.0</v>
      </c>
      <c r="F24" s="31" t="s">
        <v>39</v>
      </c>
      <c r="G24" s="93">
        <v>1537.1589938068257</v>
      </c>
      <c r="H24" s="105">
        <v>100.0</v>
      </c>
      <c r="I24" s="93">
        <f t="shared" si="1"/>
        <v>12.75841965</v>
      </c>
      <c r="J24" s="93">
        <f t="shared" si="2"/>
        <v>1649.917413</v>
      </c>
      <c r="K24" s="114"/>
      <c r="L24" s="93">
        <f t="shared" si="3"/>
        <v>1649.917413</v>
      </c>
    </row>
    <row r="25" ht="24.75" customHeight="1">
      <c r="A25" s="11">
        <v>19.0</v>
      </c>
      <c r="B25" s="34" t="s">
        <v>97</v>
      </c>
      <c r="C25" s="30" t="s">
        <v>93</v>
      </c>
      <c r="D25" s="30" t="s">
        <v>94</v>
      </c>
      <c r="E25" s="35"/>
      <c r="F25" s="31" t="s">
        <v>34</v>
      </c>
      <c r="G25" s="93">
        <v>96.45632085011947</v>
      </c>
      <c r="H25" s="105"/>
      <c r="I25" s="93">
        <f t="shared" si="1"/>
        <v>0.8005874631</v>
      </c>
      <c r="J25" s="93">
        <f t="shared" si="2"/>
        <v>97.25690831</v>
      </c>
      <c r="K25" s="114"/>
      <c r="L25" s="93">
        <f t="shared" si="3"/>
        <v>97.25690831</v>
      </c>
    </row>
    <row r="26" ht="24.75" customHeight="1">
      <c r="A26" s="11">
        <v>20.0</v>
      </c>
      <c r="B26" s="34" t="s">
        <v>98</v>
      </c>
      <c r="C26" s="34" t="s">
        <v>93</v>
      </c>
      <c r="D26" s="30" t="s">
        <v>94</v>
      </c>
      <c r="E26" s="100">
        <v>46190.0</v>
      </c>
      <c r="F26" s="35" t="s">
        <v>38</v>
      </c>
      <c r="G26" s="93">
        <v>186.9590202128478</v>
      </c>
      <c r="H26" s="105">
        <v>15.0</v>
      </c>
      <c r="I26" s="93">
        <f t="shared" si="1"/>
        <v>1.551759868</v>
      </c>
      <c r="J26" s="93">
        <f t="shared" si="2"/>
        <v>203.5107801</v>
      </c>
      <c r="K26" s="114"/>
      <c r="L26" s="93">
        <f t="shared" si="3"/>
        <v>203.5107801</v>
      </c>
    </row>
    <row r="27" ht="24.75" customHeight="1">
      <c r="A27" s="11">
        <v>21.0</v>
      </c>
      <c r="B27" s="30" t="s">
        <v>61</v>
      </c>
      <c r="C27" s="30" t="s">
        <v>91</v>
      </c>
      <c r="D27" s="30" t="s">
        <v>94</v>
      </c>
      <c r="E27" s="35"/>
      <c r="F27" s="31" t="s">
        <v>38</v>
      </c>
      <c r="G27" s="93">
        <v>166.69142426626186</v>
      </c>
      <c r="H27" s="105"/>
      <c r="I27" s="93">
        <f t="shared" si="1"/>
        <v>1.383538821</v>
      </c>
      <c r="J27" s="93">
        <f t="shared" si="2"/>
        <v>168.0749631</v>
      </c>
      <c r="K27" s="114"/>
      <c r="L27" s="93">
        <f t="shared" si="3"/>
        <v>168.0749631</v>
      </c>
    </row>
    <row r="28" ht="24.75" customHeight="1">
      <c r="A28" s="11">
        <v>22.0</v>
      </c>
      <c r="B28" s="30" t="s">
        <v>63</v>
      </c>
      <c r="C28" s="30" t="s">
        <v>91</v>
      </c>
      <c r="D28" s="30" t="s">
        <v>94</v>
      </c>
      <c r="E28" s="100">
        <v>46180.0</v>
      </c>
      <c r="F28" s="31" t="s">
        <v>39</v>
      </c>
      <c r="G28" s="93">
        <v>1426.3283417427926</v>
      </c>
      <c r="H28" s="105">
        <v>50.0</v>
      </c>
      <c r="I28" s="93">
        <f t="shared" si="1"/>
        <v>11.83852524</v>
      </c>
      <c r="J28" s="93">
        <f t="shared" si="2"/>
        <v>1488.166867</v>
      </c>
      <c r="K28" s="114"/>
      <c r="L28" s="93">
        <f t="shared" si="3"/>
        <v>1488.166867</v>
      </c>
    </row>
    <row r="29" ht="24.75" customHeight="1">
      <c r="A29" s="11">
        <v>23.0</v>
      </c>
      <c r="B29" s="34" t="s">
        <v>64</v>
      </c>
      <c r="C29" s="30" t="s">
        <v>91</v>
      </c>
      <c r="D29" s="30" t="s">
        <v>94</v>
      </c>
      <c r="E29" s="35"/>
      <c r="F29" s="31" t="s">
        <v>40</v>
      </c>
      <c r="G29" s="93">
        <v>785.8645368897973</v>
      </c>
      <c r="H29" s="105"/>
      <c r="I29" s="93">
        <f t="shared" si="1"/>
        <v>6.522675656</v>
      </c>
      <c r="J29" s="93">
        <f t="shared" si="2"/>
        <v>792.3872125</v>
      </c>
      <c r="K29" s="114"/>
      <c r="L29" s="93">
        <f t="shared" si="3"/>
        <v>792.3872125</v>
      </c>
    </row>
    <row r="30" ht="24.75" customHeight="1">
      <c r="A30" s="11">
        <v>24.0</v>
      </c>
      <c r="B30" s="30" t="s">
        <v>65</v>
      </c>
      <c r="C30" s="30" t="s">
        <v>91</v>
      </c>
      <c r="D30" s="30" t="s">
        <v>94</v>
      </c>
      <c r="E30" s="35"/>
      <c r="F30" s="31" t="s">
        <v>39</v>
      </c>
      <c r="G30" s="93">
        <v>51.62450456405088</v>
      </c>
      <c r="H30" s="105"/>
      <c r="I30" s="93">
        <f t="shared" si="1"/>
        <v>0.4284833879</v>
      </c>
      <c r="J30" s="93">
        <f t="shared" si="2"/>
        <v>52.05298795</v>
      </c>
      <c r="K30" s="114"/>
      <c r="L30" s="93">
        <f t="shared" si="3"/>
        <v>52.05298795</v>
      </c>
    </row>
    <row r="31" ht="24.75" customHeight="1">
      <c r="A31" s="11">
        <v>25.0</v>
      </c>
      <c r="B31" s="30" t="s">
        <v>66</v>
      </c>
      <c r="C31" s="30" t="s">
        <v>91</v>
      </c>
      <c r="D31" s="30" t="s">
        <v>94</v>
      </c>
      <c r="E31" s="35"/>
      <c r="F31" s="31" t="s">
        <v>33</v>
      </c>
      <c r="G31" s="93">
        <v>79.1591587057247</v>
      </c>
      <c r="H31" s="105"/>
      <c r="I31" s="93">
        <f t="shared" si="1"/>
        <v>0.6570210173</v>
      </c>
      <c r="J31" s="93">
        <f t="shared" si="2"/>
        <v>79.81617972</v>
      </c>
      <c r="K31" s="114"/>
      <c r="L31" s="93">
        <f t="shared" si="3"/>
        <v>79.81617972</v>
      </c>
    </row>
    <row r="32" ht="24.75" customHeight="1">
      <c r="A32" s="11">
        <v>26.0</v>
      </c>
      <c r="B32" s="30" t="s">
        <v>99</v>
      </c>
      <c r="C32" s="30" t="s">
        <v>91</v>
      </c>
      <c r="D32" s="30" t="s">
        <v>94</v>
      </c>
      <c r="E32" s="35"/>
      <c r="F32" s="31" t="s">
        <v>38</v>
      </c>
      <c r="G32" s="93">
        <v>267.09449239962066</v>
      </c>
      <c r="H32" s="105"/>
      <c r="I32" s="93">
        <f t="shared" si="1"/>
        <v>2.216884287</v>
      </c>
      <c r="J32" s="93">
        <f t="shared" si="2"/>
        <v>269.3113767</v>
      </c>
      <c r="K32" s="114"/>
      <c r="L32" s="93">
        <f t="shared" si="3"/>
        <v>269.3113767</v>
      </c>
    </row>
    <row r="33" ht="24.75" customHeight="1">
      <c r="A33" s="11">
        <v>27.0</v>
      </c>
      <c r="B33" s="30" t="s">
        <v>101</v>
      </c>
      <c r="C33" s="30" t="s">
        <v>93</v>
      </c>
      <c r="D33" s="30" t="s">
        <v>94</v>
      </c>
      <c r="E33" s="100">
        <v>46184.0</v>
      </c>
      <c r="F33" s="31"/>
      <c r="G33" s="93">
        <v>2247.8026284465855</v>
      </c>
      <c r="H33" s="105">
        <v>20.0</v>
      </c>
      <c r="I33" s="93">
        <f t="shared" si="1"/>
        <v>18.65676182</v>
      </c>
      <c r="J33" s="93">
        <f t="shared" si="2"/>
        <v>2286.45939</v>
      </c>
      <c r="K33" s="114"/>
      <c r="L33" s="93">
        <f t="shared" si="3"/>
        <v>2286.45939</v>
      </c>
    </row>
    <row r="34" ht="30.0" customHeight="1">
      <c r="A34" s="11">
        <v>28.0</v>
      </c>
      <c r="B34" s="30" t="s">
        <v>102</v>
      </c>
      <c r="C34" s="30"/>
      <c r="D34" s="30" t="s">
        <v>94</v>
      </c>
      <c r="E34" s="35"/>
      <c r="F34" s="31"/>
      <c r="G34" s="93">
        <v>19.275425424391713</v>
      </c>
      <c r="H34" s="105"/>
      <c r="I34" s="93">
        <f t="shared" si="1"/>
        <v>0.159986031</v>
      </c>
      <c r="J34" s="93">
        <f t="shared" si="2"/>
        <v>19.43541146</v>
      </c>
      <c r="K34" s="114"/>
      <c r="L34" s="93">
        <f t="shared" si="3"/>
        <v>19.43541146</v>
      </c>
    </row>
    <row r="35" ht="30.0" customHeight="1">
      <c r="A35" s="11">
        <v>29.0</v>
      </c>
      <c r="B35" s="30" t="s">
        <v>104</v>
      </c>
      <c r="C35" s="30" t="s">
        <v>93</v>
      </c>
      <c r="D35" s="30" t="s">
        <v>94</v>
      </c>
      <c r="E35" s="35"/>
      <c r="F35" s="31"/>
      <c r="G35" s="93">
        <v>499.67504948631586</v>
      </c>
      <c r="H35" s="105"/>
      <c r="I35" s="93">
        <f t="shared" si="1"/>
        <v>4.147302911</v>
      </c>
      <c r="J35" s="93">
        <f t="shared" si="2"/>
        <v>503.8223524</v>
      </c>
      <c r="K35" s="114"/>
      <c r="L35" s="93">
        <f t="shared" si="3"/>
        <v>503.8223524</v>
      </c>
    </row>
    <row r="36" ht="30.0" customHeight="1">
      <c r="A36" s="11">
        <v>30.0</v>
      </c>
      <c r="B36" s="110" t="s">
        <v>247</v>
      </c>
      <c r="C36" s="34"/>
      <c r="D36" s="34" t="s">
        <v>94</v>
      </c>
      <c r="E36" s="100">
        <v>46182.0</v>
      </c>
      <c r="F36" s="35"/>
      <c r="G36" s="93">
        <v>571.1194821886579</v>
      </c>
      <c r="H36" s="105">
        <v>25.0</v>
      </c>
      <c r="I36" s="93">
        <f t="shared" si="1"/>
        <v>4.740291702</v>
      </c>
      <c r="J36" s="93">
        <f t="shared" si="2"/>
        <v>600.8597739</v>
      </c>
      <c r="K36" s="114"/>
      <c r="L36" s="93">
        <f t="shared" si="3"/>
        <v>600.8597739</v>
      </c>
    </row>
    <row r="37" ht="30.0" customHeight="1">
      <c r="A37" s="11">
        <v>31.0</v>
      </c>
      <c r="B37" s="34" t="s">
        <v>175</v>
      </c>
      <c r="C37" s="34" t="s">
        <v>93</v>
      </c>
      <c r="D37" s="34" t="s">
        <v>94</v>
      </c>
      <c r="E37" s="100">
        <v>46174.0</v>
      </c>
      <c r="F37" s="35"/>
      <c r="G37" s="93">
        <v>1538.4895012899715</v>
      </c>
      <c r="H37" s="105">
        <v>100.0</v>
      </c>
      <c r="I37" s="93">
        <f t="shared" si="1"/>
        <v>12.76946286</v>
      </c>
      <c r="J37" s="93">
        <f t="shared" si="2"/>
        <v>1651.258964</v>
      </c>
      <c r="K37" s="114"/>
      <c r="L37" s="93">
        <f t="shared" si="3"/>
        <v>1651.258964</v>
      </c>
    </row>
    <row r="38" ht="30.0" customHeight="1">
      <c r="A38" s="11">
        <v>32.0</v>
      </c>
      <c r="B38" s="34" t="s">
        <v>108</v>
      </c>
      <c r="C38" s="34"/>
      <c r="D38" s="34" t="s">
        <v>94</v>
      </c>
      <c r="E38" s="35"/>
      <c r="F38" s="35"/>
      <c r="G38" s="93">
        <v>69.59507776926887</v>
      </c>
      <c r="H38" s="105"/>
      <c r="I38" s="93">
        <f t="shared" si="1"/>
        <v>0.5776391455</v>
      </c>
      <c r="J38" s="93">
        <f t="shared" si="2"/>
        <v>70.17271691</v>
      </c>
      <c r="K38" s="114"/>
      <c r="L38" s="93">
        <f t="shared" si="3"/>
        <v>70.17271691</v>
      </c>
    </row>
    <row r="39" ht="30.0" customHeight="1">
      <c r="A39" s="11">
        <v>33.0</v>
      </c>
      <c r="B39" s="34" t="s">
        <v>111</v>
      </c>
      <c r="C39" s="34"/>
      <c r="D39" s="34" t="s">
        <v>94</v>
      </c>
      <c r="E39" s="35"/>
      <c r="F39" s="35"/>
      <c r="G39" s="93">
        <v>74.96646870930041</v>
      </c>
      <c r="H39" s="105"/>
      <c r="I39" s="93">
        <f t="shared" si="1"/>
        <v>0.6222216903</v>
      </c>
      <c r="J39" s="93">
        <f t="shared" si="2"/>
        <v>75.5886904</v>
      </c>
      <c r="K39" s="114"/>
      <c r="L39" s="93">
        <f t="shared" si="3"/>
        <v>75.5886904</v>
      </c>
    </row>
    <row r="40" ht="30.0" customHeight="1">
      <c r="A40" s="11">
        <v>34.0</v>
      </c>
      <c r="B40" s="34" t="s">
        <v>112</v>
      </c>
      <c r="C40" s="34"/>
      <c r="D40" s="34" t="s">
        <v>94</v>
      </c>
      <c r="E40" s="35"/>
      <c r="F40" s="35"/>
      <c r="G40" s="93">
        <v>25.734847789783853</v>
      </c>
      <c r="H40" s="105"/>
      <c r="I40" s="93">
        <f t="shared" si="1"/>
        <v>0.2135992367</v>
      </c>
      <c r="J40" s="93">
        <f t="shared" si="2"/>
        <v>25.94844703</v>
      </c>
      <c r="K40" s="114"/>
      <c r="L40" s="93">
        <f t="shared" si="3"/>
        <v>25.94844703</v>
      </c>
    </row>
    <row r="41" ht="30.0" customHeight="1">
      <c r="A41" s="11">
        <v>35.0</v>
      </c>
      <c r="B41" s="34" t="s">
        <v>116</v>
      </c>
      <c r="C41" s="34"/>
      <c r="D41" s="34" t="s">
        <v>94</v>
      </c>
      <c r="E41" s="35"/>
      <c r="F41" s="35"/>
      <c r="G41" s="93">
        <v>12.604147628692397</v>
      </c>
      <c r="H41" s="105"/>
      <c r="I41" s="93">
        <f t="shared" si="1"/>
        <v>0.1046144253</v>
      </c>
      <c r="J41" s="93">
        <f t="shared" si="2"/>
        <v>12.70876205</v>
      </c>
      <c r="K41" s="114"/>
      <c r="L41" s="93">
        <f t="shared" si="3"/>
        <v>12.70876205</v>
      </c>
    </row>
    <row r="42" ht="30.0" customHeight="1">
      <c r="A42" s="11">
        <v>36.0</v>
      </c>
      <c r="B42" s="30" t="s">
        <v>118</v>
      </c>
      <c r="C42" s="30"/>
      <c r="D42" s="30" t="s">
        <v>94</v>
      </c>
      <c r="E42" s="35"/>
      <c r="F42" s="31"/>
      <c r="G42" s="93">
        <v>25.208295257384794</v>
      </c>
      <c r="H42" s="105"/>
      <c r="I42" s="93">
        <f t="shared" si="1"/>
        <v>0.2092288506</v>
      </c>
      <c r="J42" s="93">
        <f t="shared" si="2"/>
        <v>25.41752411</v>
      </c>
      <c r="K42" s="114"/>
      <c r="L42" s="93">
        <f t="shared" si="3"/>
        <v>25.41752411</v>
      </c>
    </row>
    <row r="43" ht="30.0" customHeight="1">
      <c r="A43" s="11">
        <v>37.0</v>
      </c>
      <c r="B43" s="30" t="s">
        <v>176</v>
      </c>
      <c r="C43" s="34" t="s">
        <v>93</v>
      </c>
      <c r="D43" s="34" t="s">
        <v>94</v>
      </c>
      <c r="E43" s="35"/>
      <c r="F43" s="35"/>
      <c r="G43" s="93">
        <v>245.16669150232067</v>
      </c>
      <c r="H43" s="105"/>
      <c r="I43" s="93">
        <f t="shared" si="1"/>
        <v>2.034883539</v>
      </c>
      <c r="J43" s="93">
        <f t="shared" si="2"/>
        <v>247.201575</v>
      </c>
      <c r="K43" s="114">
        <v>71.71</v>
      </c>
      <c r="L43" s="93">
        <f t="shared" si="3"/>
        <v>175.491575</v>
      </c>
    </row>
    <row r="44" ht="30.0" customHeight="1">
      <c r="A44" s="11">
        <v>38.0</v>
      </c>
      <c r="B44" s="30" t="s">
        <v>121</v>
      </c>
      <c r="C44" s="30"/>
      <c r="D44" s="30" t="s">
        <v>94</v>
      </c>
      <c r="E44" s="35"/>
      <c r="F44" s="31"/>
      <c r="G44" s="93">
        <v>12.500394355541403</v>
      </c>
      <c r="H44" s="105"/>
      <c r="I44" s="93">
        <f t="shared" si="1"/>
        <v>0.1037532732</v>
      </c>
      <c r="J44" s="93">
        <f t="shared" si="2"/>
        <v>12.60414763</v>
      </c>
      <c r="K44" s="114"/>
      <c r="L44" s="93">
        <f t="shared" si="3"/>
        <v>12.60414763</v>
      </c>
    </row>
    <row r="45" ht="30.0" customHeight="1">
      <c r="A45" s="112">
        <v>39.0</v>
      </c>
      <c r="B45" s="76" t="s">
        <v>161</v>
      </c>
      <c r="C45" s="76" t="s">
        <v>93</v>
      </c>
      <c r="D45" s="76" t="s">
        <v>94</v>
      </c>
      <c r="E45" s="77"/>
      <c r="F45" s="77"/>
      <c r="G45" s="113">
        <v>-3.261777072616212E-4</v>
      </c>
      <c r="H45" s="114"/>
      <c r="I45" s="71">
        <f t="shared" si="1"/>
        <v>-0.00000270727497</v>
      </c>
      <c r="J45" s="72">
        <f t="shared" si="2"/>
        <v>-0.0003288849822</v>
      </c>
      <c r="K45" s="114"/>
      <c r="L45" s="33">
        <v>-3.261777072616212E-4</v>
      </c>
    </row>
    <row r="46" ht="30.0" customHeight="1">
      <c r="A46" s="11">
        <v>40.0</v>
      </c>
      <c r="B46" s="54" t="s">
        <v>126</v>
      </c>
      <c r="C46" s="13" t="s">
        <v>91</v>
      </c>
      <c r="D46" s="30" t="s">
        <v>94</v>
      </c>
      <c r="E46" s="31"/>
      <c r="F46" s="14"/>
      <c r="G46" s="93">
        <v>154.29760266993242</v>
      </c>
      <c r="H46" s="105"/>
      <c r="I46" s="93">
        <f t="shared" si="1"/>
        <v>1.280670102</v>
      </c>
      <c r="J46" s="93">
        <f t="shared" si="2"/>
        <v>155.5782728</v>
      </c>
      <c r="K46" s="114"/>
      <c r="L46" s="93">
        <f t="shared" ref="L46:L101" si="4">J46-K46</f>
        <v>155.5782728</v>
      </c>
    </row>
    <row r="47" ht="30.0" customHeight="1">
      <c r="A47" s="11">
        <v>41.0</v>
      </c>
      <c r="B47" s="13" t="s">
        <v>127</v>
      </c>
      <c r="C47" s="13"/>
      <c r="D47" s="30" t="s">
        <v>94</v>
      </c>
      <c r="E47" s="35"/>
      <c r="F47" s="14"/>
      <c r="G47" s="93">
        <v>49.18345199787398</v>
      </c>
      <c r="H47" s="105"/>
      <c r="I47" s="93">
        <f t="shared" si="1"/>
        <v>0.4082226516</v>
      </c>
      <c r="J47" s="93">
        <f t="shared" si="2"/>
        <v>49.59167465</v>
      </c>
      <c r="K47" s="114"/>
      <c r="L47" s="93">
        <f t="shared" si="4"/>
        <v>49.59167465</v>
      </c>
    </row>
    <row r="48" ht="30.0" customHeight="1">
      <c r="A48" s="11">
        <v>42.0</v>
      </c>
      <c r="B48" s="13" t="s">
        <v>128</v>
      </c>
      <c r="C48" s="13"/>
      <c r="D48" s="30" t="s">
        <v>94</v>
      </c>
      <c r="E48" s="100"/>
      <c r="F48" s="14"/>
      <c r="G48" s="93">
        <v>270.9182595750707</v>
      </c>
      <c r="H48" s="105"/>
      <c r="I48" s="93">
        <f t="shared" si="1"/>
        <v>2.248621554</v>
      </c>
      <c r="J48" s="93">
        <f t="shared" si="2"/>
        <v>273.1668811</v>
      </c>
      <c r="K48" s="114"/>
      <c r="L48" s="93">
        <f t="shared" si="4"/>
        <v>273.1668811</v>
      </c>
    </row>
    <row r="49" ht="30.0" customHeight="1">
      <c r="A49" s="11">
        <v>43.0</v>
      </c>
      <c r="B49" s="13" t="s">
        <v>177</v>
      </c>
      <c r="C49" s="13" t="s">
        <v>91</v>
      </c>
      <c r="D49" s="30" t="s">
        <v>94</v>
      </c>
      <c r="E49" s="100">
        <v>46183.0</v>
      </c>
      <c r="F49" s="14" t="s">
        <v>101</v>
      </c>
      <c r="G49" s="93">
        <v>1463.5936855121095</v>
      </c>
      <c r="H49" s="105">
        <v>10.0</v>
      </c>
      <c r="I49" s="93">
        <f t="shared" si="1"/>
        <v>12.14782759</v>
      </c>
      <c r="J49" s="93">
        <f t="shared" si="2"/>
        <v>1485.741513</v>
      </c>
      <c r="K49" s="114"/>
      <c r="L49" s="93">
        <f t="shared" si="4"/>
        <v>1485.741513</v>
      </c>
    </row>
    <row r="50" ht="30.0" customHeight="1">
      <c r="A50" s="11">
        <v>44.0</v>
      </c>
      <c r="B50" s="13" t="s">
        <v>132</v>
      </c>
      <c r="C50" s="13"/>
      <c r="D50" s="30" t="s">
        <v>94</v>
      </c>
      <c r="E50" s="35"/>
      <c r="F50" s="14"/>
      <c r="G50" s="93">
        <v>18.341952337699354</v>
      </c>
      <c r="H50" s="105"/>
      <c r="I50" s="93">
        <f t="shared" si="1"/>
        <v>0.1522382044</v>
      </c>
      <c r="J50" s="93">
        <f t="shared" si="2"/>
        <v>18.49419054</v>
      </c>
      <c r="K50" s="114"/>
      <c r="L50" s="93">
        <f t="shared" si="4"/>
        <v>18.49419054</v>
      </c>
    </row>
    <row r="51" ht="27.0" customHeight="1">
      <c r="A51" s="11">
        <v>45.0</v>
      </c>
      <c r="B51" s="13" t="s">
        <v>133</v>
      </c>
      <c r="C51" s="13" t="s">
        <v>93</v>
      </c>
      <c r="D51" s="30" t="s">
        <v>94</v>
      </c>
      <c r="E51" s="100">
        <v>46183.0</v>
      </c>
      <c r="F51" s="14"/>
      <c r="G51" s="93">
        <v>935.0404416758697</v>
      </c>
      <c r="H51" s="105">
        <v>20.0</v>
      </c>
      <c r="I51" s="93">
        <f t="shared" si="1"/>
        <v>7.760835666</v>
      </c>
      <c r="J51" s="93">
        <f t="shared" si="2"/>
        <v>962.8012773</v>
      </c>
      <c r="K51" s="114"/>
      <c r="L51" s="93">
        <f t="shared" si="4"/>
        <v>962.8012773</v>
      </c>
    </row>
    <row r="52" ht="30.0" customHeight="1">
      <c r="A52" s="11">
        <v>46.0</v>
      </c>
      <c r="B52" s="30" t="s">
        <v>134</v>
      </c>
      <c r="C52" s="13"/>
      <c r="D52" s="30" t="s">
        <v>94</v>
      </c>
      <c r="E52" s="100"/>
      <c r="F52" s="14" t="s">
        <v>131</v>
      </c>
      <c r="G52" s="93">
        <v>79.14567382229274</v>
      </c>
      <c r="H52" s="105"/>
      <c r="I52" s="93">
        <f t="shared" si="1"/>
        <v>0.6569090927</v>
      </c>
      <c r="J52" s="93">
        <f t="shared" si="2"/>
        <v>79.80258292</v>
      </c>
      <c r="K52" s="114"/>
      <c r="L52" s="93">
        <f t="shared" si="4"/>
        <v>79.80258292</v>
      </c>
    </row>
    <row r="53" ht="30.0" customHeight="1">
      <c r="A53" s="11">
        <v>47.0</v>
      </c>
      <c r="B53" s="110" t="s">
        <v>248</v>
      </c>
      <c r="C53" s="13"/>
      <c r="D53" s="30" t="s">
        <v>94</v>
      </c>
      <c r="E53" s="100">
        <v>46187.0</v>
      </c>
      <c r="F53" s="14" t="s">
        <v>131</v>
      </c>
      <c r="G53" s="93">
        <v>590.6231313805806</v>
      </c>
      <c r="H53" s="105">
        <v>20.0</v>
      </c>
      <c r="I53" s="93">
        <f t="shared" si="1"/>
        <v>4.90217199</v>
      </c>
      <c r="J53" s="93">
        <f t="shared" si="2"/>
        <v>615.5253034</v>
      </c>
      <c r="K53" s="114"/>
      <c r="L53" s="93">
        <f t="shared" si="4"/>
        <v>615.5253034</v>
      </c>
    </row>
    <row r="54" ht="30.0" customHeight="1">
      <c r="A54" s="112">
        <v>48.0</v>
      </c>
      <c r="B54" s="67" t="s">
        <v>136</v>
      </c>
      <c r="C54" s="67"/>
      <c r="D54" s="68" t="s">
        <v>94</v>
      </c>
      <c r="E54" s="77"/>
      <c r="F54" s="69" t="s">
        <v>131</v>
      </c>
      <c r="G54" s="116">
        <v>-3.261777072616212E-4</v>
      </c>
      <c r="H54" s="114"/>
      <c r="I54" s="72">
        <f t="shared" si="1"/>
        <v>-0.00000270727497</v>
      </c>
      <c r="J54" s="72">
        <f t="shared" si="2"/>
        <v>-0.0003288849822</v>
      </c>
      <c r="K54" s="114"/>
      <c r="L54" s="33">
        <f t="shared" si="4"/>
        <v>-0.0003288849822</v>
      </c>
    </row>
    <row r="55" ht="30.0" customHeight="1">
      <c r="A55" s="11">
        <v>49.0</v>
      </c>
      <c r="B55" s="13" t="s">
        <v>138</v>
      </c>
      <c r="C55" s="13"/>
      <c r="D55" s="30" t="s">
        <v>94</v>
      </c>
      <c r="E55" s="35"/>
      <c r="F55" s="14"/>
      <c r="G55" s="93">
        <v>12.194230853105976</v>
      </c>
      <c r="H55" s="105"/>
      <c r="I55" s="93">
        <f t="shared" si="1"/>
        <v>0.1012121161</v>
      </c>
      <c r="J55" s="93">
        <f t="shared" si="2"/>
        <v>12.29544297</v>
      </c>
      <c r="K55" s="114"/>
      <c r="L55" s="93">
        <f t="shared" si="4"/>
        <v>12.29544297</v>
      </c>
    </row>
    <row r="56" ht="30.0" customHeight="1">
      <c r="A56" s="11">
        <v>50.0</v>
      </c>
      <c r="B56" s="13" t="s">
        <v>142</v>
      </c>
      <c r="C56" s="13" t="s">
        <v>93</v>
      </c>
      <c r="D56" s="30" t="s">
        <v>94</v>
      </c>
      <c r="E56" s="122">
        <v>46190.0</v>
      </c>
      <c r="F56" s="14"/>
      <c r="G56" s="93">
        <v>192.17008283946512</v>
      </c>
      <c r="H56" s="105">
        <v>5.8</v>
      </c>
      <c r="I56" s="93">
        <f t="shared" si="1"/>
        <v>1.595011688</v>
      </c>
      <c r="J56" s="93">
        <f t="shared" si="2"/>
        <v>199.5650945</v>
      </c>
      <c r="K56" s="114"/>
      <c r="L56" s="93">
        <f t="shared" si="4"/>
        <v>199.5650945</v>
      </c>
    </row>
    <row r="57" ht="30.0" customHeight="1">
      <c r="A57" s="11">
        <v>51.0</v>
      </c>
      <c r="B57" s="13" t="s">
        <v>153</v>
      </c>
      <c r="C57" s="13" t="s">
        <v>93</v>
      </c>
      <c r="D57" s="30" t="s">
        <v>94</v>
      </c>
      <c r="E57" s="100">
        <v>46183.0</v>
      </c>
      <c r="F57" s="14"/>
      <c r="G57" s="93">
        <v>874.1565228170383</v>
      </c>
      <c r="H57" s="105">
        <v>25.0</v>
      </c>
      <c r="I57" s="93">
        <f t="shared" si="1"/>
        <v>7.255499139</v>
      </c>
      <c r="J57" s="93">
        <f t="shared" si="2"/>
        <v>906.412022</v>
      </c>
      <c r="K57" s="114"/>
      <c r="L57" s="93">
        <f t="shared" si="4"/>
        <v>906.412022</v>
      </c>
    </row>
    <row r="58" ht="30.0" customHeight="1">
      <c r="A58" s="11">
        <v>52.0</v>
      </c>
      <c r="B58" s="104" t="s">
        <v>255</v>
      </c>
      <c r="C58" s="13"/>
      <c r="D58" s="30" t="s">
        <v>94</v>
      </c>
      <c r="E58" s="100">
        <v>46182.0</v>
      </c>
      <c r="F58" s="14"/>
      <c r="G58" s="93">
        <v>470.62051632080073</v>
      </c>
      <c r="H58" s="105">
        <v>41.0</v>
      </c>
      <c r="I58" s="93">
        <f t="shared" si="1"/>
        <v>3.906150285</v>
      </c>
      <c r="J58" s="93">
        <f t="shared" si="2"/>
        <v>515.5266666</v>
      </c>
      <c r="K58" s="114"/>
      <c r="L58" s="93">
        <f t="shared" si="4"/>
        <v>515.5266666</v>
      </c>
    </row>
    <row r="59" ht="30.0" customHeight="1">
      <c r="A59" s="11">
        <v>53.0</v>
      </c>
      <c r="B59" s="13" t="s">
        <v>155</v>
      </c>
      <c r="C59" s="13"/>
      <c r="D59" s="30" t="s">
        <v>94</v>
      </c>
      <c r="E59" s="100">
        <v>46174.0</v>
      </c>
      <c r="F59" s="14"/>
      <c r="G59" s="93">
        <v>376.228679813398</v>
      </c>
      <c r="H59" s="105">
        <v>55.0</v>
      </c>
      <c r="I59" s="93">
        <f t="shared" si="1"/>
        <v>3.122698042</v>
      </c>
      <c r="J59" s="93">
        <f t="shared" si="2"/>
        <v>434.3513779</v>
      </c>
      <c r="K59" s="114"/>
      <c r="L59" s="93">
        <f t="shared" si="4"/>
        <v>434.3513779</v>
      </c>
    </row>
    <row r="60" ht="30.0" customHeight="1">
      <c r="A60" s="11">
        <v>54.0</v>
      </c>
      <c r="B60" s="104" t="s">
        <v>249</v>
      </c>
      <c r="C60" s="13"/>
      <c r="D60" s="30" t="s">
        <v>94</v>
      </c>
      <c r="E60" s="100">
        <v>46198.0</v>
      </c>
      <c r="F60" s="14"/>
      <c r="G60" s="93">
        <v>358.08351050282374</v>
      </c>
      <c r="H60" s="105">
        <v>10.0</v>
      </c>
      <c r="I60" s="93">
        <f t="shared" si="1"/>
        <v>2.972093137</v>
      </c>
      <c r="J60" s="93">
        <f t="shared" si="2"/>
        <v>371.0556036</v>
      </c>
      <c r="K60" s="114"/>
      <c r="L60" s="93">
        <f t="shared" si="4"/>
        <v>371.0556036</v>
      </c>
    </row>
    <row r="61" ht="30.0" customHeight="1">
      <c r="A61" s="11">
        <v>55.0</v>
      </c>
      <c r="B61" s="13" t="s">
        <v>157</v>
      </c>
      <c r="C61" s="13"/>
      <c r="D61" s="30" t="s">
        <v>94</v>
      </c>
      <c r="E61" s="35"/>
      <c r="F61" s="14"/>
      <c r="G61" s="93">
        <v>27.93148106350857</v>
      </c>
      <c r="H61" s="105"/>
      <c r="I61" s="93">
        <f t="shared" si="1"/>
        <v>0.2318312928</v>
      </c>
      <c r="J61" s="93">
        <f t="shared" si="2"/>
        <v>28.16331236</v>
      </c>
      <c r="K61" s="114"/>
      <c r="L61" s="93">
        <f t="shared" si="4"/>
        <v>28.16331236</v>
      </c>
    </row>
    <row r="62" ht="30.0" customHeight="1">
      <c r="A62" s="11">
        <v>56.0</v>
      </c>
      <c r="B62" s="12" t="s">
        <v>179</v>
      </c>
      <c r="C62" s="12"/>
      <c r="D62" s="34" t="s">
        <v>94</v>
      </c>
      <c r="E62" s="100">
        <v>46175.0</v>
      </c>
      <c r="F62" s="22"/>
      <c r="G62" s="93">
        <v>1315.1574515725283</v>
      </c>
      <c r="H62" s="105">
        <v>100.0</v>
      </c>
      <c r="I62" s="93">
        <f t="shared" si="1"/>
        <v>10.91580685</v>
      </c>
      <c r="J62" s="93">
        <f t="shared" si="2"/>
        <v>1426.073258</v>
      </c>
      <c r="K62" s="114"/>
      <c r="L62" s="93">
        <f t="shared" si="4"/>
        <v>1426.073258</v>
      </c>
    </row>
    <row r="63" ht="30.0" customHeight="1">
      <c r="A63" s="11">
        <v>57.0</v>
      </c>
      <c r="B63" s="13" t="s">
        <v>160</v>
      </c>
      <c r="C63" s="13"/>
      <c r="D63" s="30" t="s">
        <v>94</v>
      </c>
      <c r="E63" s="100"/>
      <c r="F63" s="14"/>
      <c r="G63" s="93">
        <v>79.56226334729303</v>
      </c>
      <c r="H63" s="105"/>
      <c r="I63" s="93">
        <f t="shared" si="1"/>
        <v>0.6603667858</v>
      </c>
      <c r="J63" s="93">
        <f t="shared" si="2"/>
        <v>80.22263013</v>
      </c>
      <c r="K63" s="114"/>
      <c r="L63" s="93">
        <f t="shared" si="4"/>
        <v>80.22263013</v>
      </c>
    </row>
    <row r="64" ht="30.0" customHeight="1">
      <c r="A64" s="11">
        <v>58.0</v>
      </c>
      <c r="B64" s="13" t="s">
        <v>164</v>
      </c>
      <c r="C64" s="13"/>
      <c r="D64" s="30" t="s">
        <v>94</v>
      </c>
      <c r="E64" s="100">
        <v>46184.0</v>
      </c>
      <c r="F64" s="14"/>
      <c r="G64" s="93">
        <v>654.8530380764415</v>
      </c>
      <c r="H64" s="105">
        <v>50.0</v>
      </c>
      <c r="I64" s="93">
        <f t="shared" si="1"/>
        <v>5.435280216</v>
      </c>
      <c r="J64" s="93">
        <f t="shared" si="2"/>
        <v>710.2883183</v>
      </c>
      <c r="K64" s="114"/>
      <c r="L64" s="93">
        <f t="shared" si="4"/>
        <v>710.2883183</v>
      </c>
    </row>
    <row r="65" ht="30.0" customHeight="1">
      <c r="A65" s="11">
        <v>59.0</v>
      </c>
      <c r="B65" s="13" t="s">
        <v>180</v>
      </c>
      <c r="C65" s="13" t="s">
        <v>93</v>
      </c>
      <c r="D65" s="30" t="s">
        <v>94</v>
      </c>
      <c r="E65" s="100">
        <v>46174.0</v>
      </c>
      <c r="F65" s="14"/>
      <c r="G65" s="93">
        <v>486.8924037289249</v>
      </c>
      <c r="H65" s="105">
        <v>30.0</v>
      </c>
      <c r="I65" s="93">
        <f t="shared" si="1"/>
        <v>4.041206951</v>
      </c>
      <c r="J65" s="93">
        <f t="shared" si="2"/>
        <v>520.9336107</v>
      </c>
      <c r="K65" s="114"/>
      <c r="L65" s="93">
        <f t="shared" si="4"/>
        <v>520.9336107</v>
      </c>
    </row>
    <row r="66" ht="30.0" customHeight="1">
      <c r="A66" s="11">
        <v>60.0</v>
      </c>
      <c r="B66" s="13" t="s">
        <v>168</v>
      </c>
      <c r="C66" s="13"/>
      <c r="D66" s="30" t="s">
        <v>94</v>
      </c>
      <c r="E66" s="100"/>
      <c r="F66" s="14"/>
      <c r="G66" s="93">
        <v>137.80550624533166</v>
      </c>
      <c r="H66" s="105"/>
      <c r="I66" s="93">
        <f t="shared" si="1"/>
        <v>1.143785702</v>
      </c>
      <c r="J66" s="93">
        <f t="shared" si="2"/>
        <v>138.9492919</v>
      </c>
      <c r="K66" s="114"/>
      <c r="L66" s="93">
        <f t="shared" si="4"/>
        <v>138.9492919</v>
      </c>
    </row>
    <row r="67" ht="30.0" customHeight="1">
      <c r="A67" s="11">
        <v>61.0</v>
      </c>
      <c r="B67" s="13" t="s">
        <v>169</v>
      </c>
      <c r="C67" s="13"/>
      <c r="D67" s="30" t="s">
        <v>94</v>
      </c>
      <c r="E67" s="100">
        <v>46184.0</v>
      </c>
      <c r="F67" s="14"/>
      <c r="G67" s="93">
        <v>138.0559675230983</v>
      </c>
      <c r="H67" s="105">
        <v>10.0</v>
      </c>
      <c r="I67" s="93">
        <f t="shared" si="1"/>
        <v>1.14586453</v>
      </c>
      <c r="J67" s="93">
        <f t="shared" si="2"/>
        <v>149.2018321</v>
      </c>
      <c r="K67" s="114"/>
      <c r="L67" s="93">
        <f t="shared" si="4"/>
        <v>149.2018321</v>
      </c>
    </row>
    <row r="68" ht="30.0" customHeight="1">
      <c r="A68" s="11">
        <v>62.0</v>
      </c>
      <c r="B68" s="104" t="s">
        <v>250</v>
      </c>
      <c r="C68" s="13"/>
      <c r="D68" s="30" t="s">
        <v>94</v>
      </c>
      <c r="E68" s="100"/>
      <c r="F68" s="14"/>
      <c r="G68" s="93">
        <v>126.41758619250949</v>
      </c>
      <c r="H68" s="105"/>
      <c r="I68" s="93">
        <f t="shared" si="1"/>
        <v>1.049265965</v>
      </c>
      <c r="J68" s="93">
        <f t="shared" si="2"/>
        <v>127.4668522</v>
      </c>
      <c r="K68" s="114"/>
      <c r="L68" s="93">
        <f t="shared" si="4"/>
        <v>127.4668522</v>
      </c>
    </row>
    <row r="69" ht="30.0" customHeight="1">
      <c r="A69" s="11">
        <v>63.0</v>
      </c>
      <c r="B69" s="104" t="s">
        <v>251</v>
      </c>
      <c r="C69" s="13"/>
      <c r="D69" s="30" t="s">
        <v>94</v>
      </c>
      <c r="E69" s="100">
        <v>46198.0</v>
      </c>
      <c r="F69" s="14"/>
      <c r="G69" s="93">
        <v>273.65693291702695</v>
      </c>
      <c r="H69" s="105">
        <v>5.0</v>
      </c>
      <c r="I69" s="93">
        <f t="shared" si="1"/>
        <v>2.271352543</v>
      </c>
      <c r="J69" s="93">
        <f t="shared" si="2"/>
        <v>280.9282855</v>
      </c>
      <c r="K69" s="114"/>
      <c r="L69" s="93">
        <f t="shared" si="4"/>
        <v>280.9282855</v>
      </c>
    </row>
    <row r="70" ht="30.0" customHeight="1">
      <c r="A70" s="11">
        <v>64.0</v>
      </c>
      <c r="B70" s="13" t="s">
        <v>182</v>
      </c>
      <c r="C70" s="13"/>
      <c r="D70" s="30" t="s">
        <v>94</v>
      </c>
      <c r="E70" s="35"/>
      <c r="F70" s="14"/>
      <c r="G70" s="93">
        <v>74.17981618804137</v>
      </c>
      <c r="H70" s="105"/>
      <c r="I70" s="93">
        <f t="shared" si="1"/>
        <v>0.6156924744</v>
      </c>
      <c r="J70" s="93">
        <f t="shared" si="2"/>
        <v>74.79550866</v>
      </c>
      <c r="K70" s="114"/>
      <c r="L70" s="93">
        <f t="shared" si="4"/>
        <v>74.79550866</v>
      </c>
    </row>
    <row r="71" ht="30.0" customHeight="1">
      <c r="A71" s="112">
        <v>65.0</v>
      </c>
      <c r="B71" s="67" t="s">
        <v>183</v>
      </c>
      <c r="C71" s="67"/>
      <c r="D71" s="68" t="s">
        <v>94</v>
      </c>
      <c r="E71" s="117"/>
      <c r="F71" s="69"/>
      <c r="G71" s="118">
        <v>-0.0033759999999993795</v>
      </c>
      <c r="H71" s="114"/>
      <c r="I71" s="119">
        <f t="shared" si="1"/>
        <v>-0.0000280208</v>
      </c>
      <c r="J71" s="72">
        <f t="shared" si="2"/>
        <v>-0.0034040208</v>
      </c>
      <c r="K71" s="114"/>
      <c r="L71" s="102">
        <f t="shared" si="4"/>
        <v>-0.0034040208</v>
      </c>
    </row>
    <row r="72" ht="30.0" customHeight="1">
      <c r="A72" s="11">
        <v>66.0</v>
      </c>
      <c r="B72" s="104" t="s">
        <v>252</v>
      </c>
      <c r="C72" s="13"/>
      <c r="D72" s="30" t="s">
        <v>94</v>
      </c>
      <c r="E72" s="100">
        <v>46180.0</v>
      </c>
      <c r="F72" s="14"/>
      <c r="G72" s="93">
        <v>197.9338315421754</v>
      </c>
      <c r="H72" s="105">
        <v>25.0</v>
      </c>
      <c r="I72" s="93">
        <f t="shared" si="1"/>
        <v>1.642850802</v>
      </c>
      <c r="J72" s="93">
        <f t="shared" si="2"/>
        <v>224.5766823</v>
      </c>
      <c r="K72" s="114"/>
      <c r="L72" s="93">
        <f t="shared" si="4"/>
        <v>224.5766823</v>
      </c>
    </row>
    <row r="73" ht="30.0" customHeight="1">
      <c r="A73" s="11">
        <v>67.0</v>
      </c>
      <c r="B73" s="98" t="s">
        <v>185</v>
      </c>
      <c r="C73" s="13"/>
      <c r="D73" s="30" t="s">
        <v>94</v>
      </c>
      <c r="E73" s="100">
        <v>46184.0</v>
      </c>
      <c r="F73" s="14"/>
      <c r="G73" s="93">
        <v>229.36115501182275</v>
      </c>
      <c r="H73" s="105">
        <v>20.0</v>
      </c>
      <c r="I73" s="93">
        <f t="shared" si="1"/>
        <v>1.903697587</v>
      </c>
      <c r="J73" s="93">
        <f t="shared" si="2"/>
        <v>251.2648526</v>
      </c>
      <c r="K73" s="114"/>
      <c r="L73" s="93">
        <f t="shared" si="4"/>
        <v>251.2648526</v>
      </c>
    </row>
    <row r="74" ht="30.0" customHeight="1">
      <c r="A74" s="11">
        <v>68.0</v>
      </c>
      <c r="B74" s="104" t="s">
        <v>232</v>
      </c>
      <c r="C74" s="13" t="s">
        <v>93</v>
      </c>
      <c r="D74" s="30" t="s">
        <v>94</v>
      </c>
      <c r="E74" s="100">
        <v>46174.0</v>
      </c>
      <c r="F74" s="120" t="s">
        <v>175</v>
      </c>
      <c r="G74" s="93">
        <v>990.7517337042084</v>
      </c>
      <c r="H74" s="105">
        <v>10.0</v>
      </c>
      <c r="I74" s="93">
        <f t="shared" si="1"/>
        <v>8.22323939</v>
      </c>
      <c r="J74" s="93">
        <f t="shared" si="2"/>
        <v>1008.974973</v>
      </c>
      <c r="K74" s="114"/>
      <c r="L74" s="93">
        <f t="shared" si="4"/>
        <v>1008.974973</v>
      </c>
    </row>
    <row r="75" ht="30.0" customHeight="1">
      <c r="A75" s="11">
        <v>69.0</v>
      </c>
      <c r="B75" s="104" t="s">
        <v>253</v>
      </c>
      <c r="C75" s="13"/>
      <c r="D75" s="30" t="s">
        <v>94</v>
      </c>
      <c r="E75" s="100">
        <v>46183.0</v>
      </c>
      <c r="F75" s="14"/>
      <c r="G75" s="93">
        <v>114.68057750591137</v>
      </c>
      <c r="H75" s="105">
        <v>10.0</v>
      </c>
      <c r="I75" s="93">
        <f t="shared" si="1"/>
        <v>0.9518487933</v>
      </c>
      <c r="J75" s="93">
        <f t="shared" si="2"/>
        <v>125.6324263</v>
      </c>
      <c r="K75" s="114"/>
      <c r="L75" s="93">
        <f t="shared" si="4"/>
        <v>125.6324263</v>
      </c>
    </row>
    <row r="76" ht="30.0" customHeight="1">
      <c r="A76" s="11">
        <v>70.0</v>
      </c>
      <c r="B76" s="13" t="s">
        <v>191</v>
      </c>
      <c r="C76" s="13"/>
      <c r="D76" s="30" t="s">
        <v>94</v>
      </c>
      <c r="E76" s="100"/>
      <c r="F76" s="14"/>
      <c r="G76" s="93">
        <v>520.3601855712432</v>
      </c>
      <c r="H76" s="105"/>
      <c r="I76" s="93">
        <f t="shared" si="1"/>
        <v>4.31898954</v>
      </c>
      <c r="J76" s="93">
        <f t="shared" si="2"/>
        <v>524.6791751</v>
      </c>
      <c r="K76" s="114"/>
      <c r="L76" s="93">
        <f t="shared" si="4"/>
        <v>524.6791751</v>
      </c>
    </row>
    <row r="77" ht="30.0" customHeight="1">
      <c r="A77" s="11">
        <v>71.0</v>
      </c>
      <c r="B77" s="13" t="s">
        <v>192</v>
      </c>
      <c r="C77" s="13"/>
      <c r="D77" s="30" t="s">
        <v>94</v>
      </c>
      <c r="E77" s="100"/>
      <c r="F77" s="14"/>
      <c r="G77" s="93">
        <v>519.0733048023857</v>
      </c>
      <c r="H77" s="105"/>
      <c r="I77" s="93">
        <f t="shared" si="1"/>
        <v>4.30830843</v>
      </c>
      <c r="J77" s="93">
        <f t="shared" si="2"/>
        <v>523.3816132</v>
      </c>
      <c r="K77" s="114"/>
      <c r="L77" s="93">
        <f t="shared" si="4"/>
        <v>523.3816132</v>
      </c>
    </row>
    <row r="78" ht="30.0" customHeight="1">
      <c r="A78" s="11">
        <v>72.0</v>
      </c>
      <c r="B78" s="104" t="s">
        <v>233</v>
      </c>
      <c r="C78" s="13"/>
      <c r="D78" s="30" t="s">
        <v>94</v>
      </c>
      <c r="E78" s="123">
        <v>46181.0</v>
      </c>
      <c r="F78" s="14"/>
      <c r="G78" s="93">
        <v>102.7005500554422</v>
      </c>
      <c r="H78" s="105">
        <v>25.0</v>
      </c>
      <c r="I78" s="93">
        <f t="shared" si="1"/>
        <v>0.8524145655</v>
      </c>
      <c r="J78" s="93">
        <f t="shared" si="2"/>
        <v>128.5529646</v>
      </c>
      <c r="K78" s="114"/>
      <c r="L78" s="93">
        <f t="shared" si="4"/>
        <v>128.5529646</v>
      </c>
    </row>
    <row r="79" ht="30.0" customHeight="1">
      <c r="A79" s="11">
        <v>73.0</v>
      </c>
      <c r="B79" s="13" t="s">
        <v>205</v>
      </c>
      <c r="C79" s="13"/>
      <c r="D79" s="30" t="s">
        <v>94</v>
      </c>
      <c r="E79" s="123">
        <v>46184.0</v>
      </c>
      <c r="F79" s="14"/>
      <c r="G79" s="93">
        <v>61.471226520855744</v>
      </c>
      <c r="H79" s="105">
        <v>10.0</v>
      </c>
      <c r="I79" s="93">
        <f t="shared" si="1"/>
        <v>0.5102111801</v>
      </c>
      <c r="J79" s="93">
        <f t="shared" si="2"/>
        <v>71.9814377</v>
      </c>
      <c r="K79" s="114"/>
      <c r="L79" s="93">
        <f t="shared" si="4"/>
        <v>71.9814377</v>
      </c>
    </row>
    <row r="80" ht="30.0" customHeight="1">
      <c r="A80" s="11">
        <v>74.0</v>
      </c>
      <c r="B80" s="13" t="s">
        <v>206</v>
      </c>
      <c r="C80" s="13"/>
      <c r="D80" s="30" t="s">
        <v>94</v>
      </c>
      <c r="E80" s="123">
        <v>46174.0</v>
      </c>
      <c r="F80" s="14"/>
      <c r="G80" s="93">
        <v>244.02001205999764</v>
      </c>
      <c r="H80" s="105">
        <v>50.0</v>
      </c>
      <c r="I80" s="93">
        <f t="shared" si="1"/>
        <v>2.0253661</v>
      </c>
      <c r="J80" s="93">
        <f t="shared" si="2"/>
        <v>296.0453782</v>
      </c>
      <c r="K80" s="114"/>
      <c r="L80" s="93">
        <f t="shared" si="4"/>
        <v>296.0453782</v>
      </c>
    </row>
    <row r="81" ht="30.0" customHeight="1">
      <c r="A81" s="11">
        <v>75.0</v>
      </c>
      <c r="B81" s="98" t="s">
        <v>207</v>
      </c>
      <c r="C81" s="13"/>
      <c r="D81" s="30" t="s">
        <v>94</v>
      </c>
      <c r="E81" s="100"/>
      <c r="F81" s="14"/>
      <c r="G81" s="93">
        <v>244.02001205999764</v>
      </c>
      <c r="H81" s="105"/>
      <c r="I81" s="93">
        <f t="shared" si="1"/>
        <v>2.0253661</v>
      </c>
      <c r="J81" s="93">
        <f t="shared" si="2"/>
        <v>246.0453782</v>
      </c>
      <c r="K81" s="114"/>
      <c r="L81" s="93">
        <f t="shared" si="4"/>
        <v>246.0453782</v>
      </c>
    </row>
    <row r="82" ht="30.0" customHeight="1">
      <c r="A82" s="11">
        <v>76.0</v>
      </c>
      <c r="B82" s="13" t="s">
        <v>217</v>
      </c>
      <c r="C82" s="13" t="s">
        <v>93</v>
      </c>
      <c r="D82" s="30" t="s">
        <v>94</v>
      </c>
      <c r="E82" s="123">
        <v>46189.0</v>
      </c>
      <c r="F82" s="14"/>
      <c r="G82" s="93">
        <v>158.6900756867124</v>
      </c>
      <c r="H82" s="105">
        <v>15.0</v>
      </c>
      <c r="I82" s="93">
        <f t="shared" si="1"/>
        <v>1.317127628</v>
      </c>
      <c r="J82" s="93">
        <f t="shared" si="2"/>
        <v>175.0072033</v>
      </c>
      <c r="K82" s="114"/>
      <c r="L82" s="93">
        <f t="shared" si="4"/>
        <v>175.0072033</v>
      </c>
    </row>
    <row r="83" ht="30.0" customHeight="1">
      <c r="A83" s="11">
        <v>77.0</v>
      </c>
      <c r="B83" s="104" t="s">
        <v>222</v>
      </c>
      <c r="C83" s="13"/>
      <c r="D83" s="30" t="s">
        <v>94</v>
      </c>
      <c r="E83" s="100">
        <v>46171.0</v>
      </c>
      <c r="F83" s="14"/>
      <c r="G83" s="93">
        <v>305.00761317870007</v>
      </c>
      <c r="H83" s="105">
        <v>50.0</v>
      </c>
      <c r="I83" s="93">
        <f t="shared" si="1"/>
        <v>2.531563189</v>
      </c>
      <c r="J83" s="93">
        <f t="shared" si="2"/>
        <v>357.5391764</v>
      </c>
      <c r="K83" s="114"/>
      <c r="L83" s="93">
        <f t="shared" si="4"/>
        <v>357.5391764</v>
      </c>
    </row>
    <row r="84" ht="30.0" customHeight="1">
      <c r="A84" s="11">
        <v>78.0</v>
      </c>
      <c r="B84" s="13" t="s">
        <v>220</v>
      </c>
      <c r="C84" s="13"/>
      <c r="D84" s="30" t="s">
        <v>94</v>
      </c>
      <c r="E84" s="123">
        <v>46184.0</v>
      </c>
      <c r="F84" s="14"/>
      <c r="G84" s="93">
        <v>91.25259505361001</v>
      </c>
      <c r="H84" s="105">
        <v>10.0</v>
      </c>
      <c r="I84" s="93">
        <f t="shared" si="1"/>
        <v>0.7573965389</v>
      </c>
      <c r="J84" s="93">
        <f t="shared" si="2"/>
        <v>102.0099916</v>
      </c>
      <c r="K84" s="114"/>
      <c r="L84" s="93">
        <f t="shared" si="4"/>
        <v>102.0099916</v>
      </c>
    </row>
    <row r="85" ht="30.0" customHeight="1">
      <c r="A85" s="11">
        <v>79.0</v>
      </c>
      <c r="B85" s="104" t="s">
        <v>223</v>
      </c>
      <c r="C85" s="13"/>
      <c r="D85" s="30" t="s">
        <v>94</v>
      </c>
      <c r="E85" s="100"/>
      <c r="F85" s="14"/>
      <c r="G85" s="93">
        <v>60.4993778</v>
      </c>
      <c r="H85" s="105"/>
      <c r="I85" s="93">
        <f t="shared" si="1"/>
        <v>0.5021448357</v>
      </c>
      <c r="J85" s="93">
        <f t="shared" si="2"/>
        <v>61.00152264</v>
      </c>
      <c r="K85" s="114"/>
      <c r="L85" s="93">
        <f t="shared" si="4"/>
        <v>61.00152264</v>
      </c>
    </row>
    <row r="86" ht="30.0" customHeight="1">
      <c r="A86" s="11">
        <v>80.0</v>
      </c>
      <c r="B86" s="104" t="s">
        <v>224</v>
      </c>
      <c r="C86" s="13"/>
      <c r="D86" s="30" t="s">
        <v>94</v>
      </c>
      <c r="E86" s="100">
        <v>46171.0</v>
      </c>
      <c r="F86" s="123"/>
      <c r="G86" s="93">
        <v>100.4986889</v>
      </c>
      <c r="H86" s="105">
        <v>20.0</v>
      </c>
      <c r="I86" s="93">
        <f t="shared" si="1"/>
        <v>0.8341391179</v>
      </c>
      <c r="J86" s="93">
        <f t="shared" si="2"/>
        <v>121.332828</v>
      </c>
      <c r="K86" s="114"/>
      <c r="L86" s="93">
        <f t="shared" si="4"/>
        <v>121.332828</v>
      </c>
    </row>
    <row r="87" ht="30.0" customHeight="1">
      <c r="A87" s="11">
        <v>81.0</v>
      </c>
      <c r="B87" s="13" t="s">
        <v>225</v>
      </c>
      <c r="C87" s="13"/>
      <c r="D87" s="30" t="s">
        <v>94</v>
      </c>
      <c r="E87" s="123">
        <v>46175.0</v>
      </c>
      <c r="F87" s="14"/>
      <c r="G87" s="93">
        <v>45.2911889</v>
      </c>
      <c r="H87" s="105">
        <v>15.0</v>
      </c>
      <c r="I87" s="93">
        <f t="shared" si="1"/>
        <v>0.3759168679</v>
      </c>
      <c r="J87" s="93">
        <f t="shared" si="2"/>
        <v>60.66710577</v>
      </c>
      <c r="K87" s="114"/>
      <c r="L87" s="93">
        <f t="shared" si="4"/>
        <v>60.66710577</v>
      </c>
    </row>
    <row r="88" ht="30.0" customHeight="1">
      <c r="A88" s="11">
        <v>82.0</v>
      </c>
      <c r="B88" s="104" t="s">
        <v>226</v>
      </c>
      <c r="C88" s="13"/>
      <c r="D88" s="30" t="s">
        <v>94</v>
      </c>
      <c r="E88" s="100"/>
      <c r="F88" s="14"/>
      <c r="G88" s="93">
        <v>10.1666889</v>
      </c>
      <c r="H88" s="105"/>
      <c r="I88" s="93">
        <f t="shared" si="1"/>
        <v>0.08438351787</v>
      </c>
      <c r="J88" s="93">
        <f t="shared" si="2"/>
        <v>10.25107242</v>
      </c>
      <c r="K88" s="114"/>
      <c r="L88" s="93">
        <f t="shared" si="4"/>
        <v>10.25107242</v>
      </c>
    </row>
    <row r="89" ht="30.0" customHeight="1">
      <c r="A89" s="11">
        <v>83.0</v>
      </c>
      <c r="B89" s="104" t="s">
        <v>227</v>
      </c>
      <c r="C89" s="13"/>
      <c r="D89" s="30" t="s">
        <v>94</v>
      </c>
      <c r="E89" s="123">
        <v>46183.0</v>
      </c>
      <c r="F89" s="14"/>
      <c r="G89" s="93">
        <v>30.2496889</v>
      </c>
      <c r="H89" s="105">
        <v>10.0</v>
      </c>
      <c r="I89" s="93">
        <f t="shared" si="1"/>
        <v>0.2510724179</v>
      </c>
      <c r="J89" s="93">
        <f t="shared" si="2"/>
        <v>40.50076132</v>
      </c>
      <c r="K89" s="114"/>
      <c r="L89" s="93">
        <f t="shared" si="4"/>
        <v>40.50076132</v>
      </c>
    </row>
    <row r="90" ht="30.0" customHeight="1">
      <c r="A90" s="11">
        <v>84.0</v>
      </c>
      <c r="B90" s="104" t="s">
        <v>228</v>
      </c>
      <c r="C90" s="13"/>
      <c r="D90" s="30" t="s">
        <v>94</v>
      </c>
      <c r="E90" s="122">
        <v>46198.0</v>
      </c>
      <c r="F90" s="14"/>
      <c r="G90" s="93">
        <v>60.4993778</v>
      </c>
      <c r="H90" s="105">
        <v>20.0</v>
      </c>
      <c r="I90" s="93">
        <f t="shared" si="1"/>
        <v>0.5021448357</v>
      </c>
      <c r="J90" s="93">
        <f t="shared" si="2"/>
        <v>81.00152264</v>
      </c>
      <c r="K90" s="114"/>
      <c r="L90" s="93">
        <f t="shared" si="4"/>
        <v>81.00152264</v>
      </c>
    </row>
    <row r="91" ht="30.0" customHeight="1">
      <c r="A91" s="11">
        <v>85.0</v>
      </c>
      <c r="B91" s="104" t="s">
        <v>229</v>
      </c>
      <c r="C91" s="13"/>
      <c r="D91" s="30" t="s">
        <v>94</v>
      </c>
      <c r="E91" s="100"/>
      <c r="F91" s="14"/>
      <c r="G91" s="93">
        <v>60.4993778</v>
      </c>
      <c r="H91" s="105"/>
      <c r="I91" s="93">
        <f t="shared" si="1"/>
        <v>0.5021448357</v>
      </c>
      <c r="J91" s="93">
        <f t="shared" si="2"/>
        <v>61.00152264</v>
      </c>
      <c r="K91" s="114"/>
      <c r="L91" s="93">
        <f t="shared" si="4"/>
        <v>61.00152264</v>
      </c>
    </row>
    <row r="92" ht="30.0" customHeight="1">
      <c r="A92" s="11">
        <v>86.0</v>
      </c>
      <c r="B92" s="104" t="s">
        <v>234</v>
      </c>
      <c r="C92" s="13"/>
      <c r="D92" s="30" t="s">
        <v>94</v>
      </c>
      <c r="E92" s="100">
        <v>46174.0</v>
      </c>
      <c r="F92" s="14"/>
      <c r="G92" s="93">
        <v>70.3735</v>
      </c>
      <c r="H92" s="105">
        <v>25.0</v>
      </c>
      <c r="I92" s="93">
        <f t="shared" si="1"/>
        <v>0.58410005</v>
      </c>
      <c r="J92" s="93">
        <f t="shared" si="2"/>
        <v>95.95760005</v>
      </c>
      <c r="K92" s="114"/>
      <c r="L92" s="93">
        <f t="shared" si="4"/>
        <v>95.95760005</v>
      </c>
    </row>
    <row r="93" ht="30.0" customHeight="1">
      <c r="A93" s="11">
        <v>87.0</v>
      </c>
      <c r="B93" s="104" t="s">
        <v>235</v>
      </c>
      <c r="C93" s="13"/>
      <c r="D93" s="30" t="s">
        <v>94</v>
      </c>
      <c r="E93" s="100">
        <v>46174.0</v>
      </c>
      <c r="F93" s="14"/>
      <c r="G93" s="93">
        <v>70.3735</v>
      </c>
      <c r="H93" s="105">
        <v>25.0</v>
      </c>
      <c r="I93" s="93">
        <f t="shared" si="1"/>
        <v>0.58410005</v>
      </c>
      <c r="J93" s="93">
        <f t="shared" si="2"/>
        <v>95.95760005</v>
      </c>
      <c r="K93" s="114"/>
      <c r="L93" s="93">
        <f t="shared" si="4"/>
        <v>95.95760005</v>
      </c>
    </row>
    <row r="94" ht="30.0" customHeight="1">
      <c r="A94" s="11">
        <v>88.0</v>
      </c>
      <c r="B94" s="104" t="s">
        <v>236</v>
      </c>
      <c r="C94" s="13"/>
      <c r="D94" s="30" t="s">
        <v>94</v>
      </c>
      <c r="E94" s="100">
        <v>46169.0</v>
      </c>
      <c r="F94" s="14"/>
      <c r="G94" s="93">
        <v>100.581</v>
      </c>
      <c r="H94" s="105">
        <v>50.0</v>
      </c>
      <c r="I94" s="93">
        <f t="shared" si="1"/>
        <v>0.8348223</v>
      </c>
      <c r="J94" s="93">
        <f t="shared" si="2"/>
        <v>151.4158223</v>
      </c>
      <c r="K94" s="114"/>
      <c r="L94" s="93">
        <f t="shared" si="4"/>
        <v>151.4158223</v>
      </c>
    </row>
    <row r="95" ht="30.0" customHeight="1">
      <c r="A95" s="11">
        <v>89.0</v>
      </c>
      <c r="B95" s="104" t="s">
        <v>237</v>
      </c>
      <c r="C95" s="13"/>
      <c r="D95" s="30" t="s">
        <v>94</v>
      </c>
      <c r="E95" s="100">
        <v>46174.0</v>
      </c>
      <c r="F95" s="14"/>
      <c r="G95" s="93">
        <v>80.415</v>
      </c>
      <c r="H95" s="105">
        <v>30.0</v>
      </c>
      <c r="I95" s="93">
        <f t="shared" si="1"/>
        <v>0.6674445</v>
      </c>
      <c r="J95" s="93">
        <f t="shared" si="2"/>
        <v>111.0824445</v>
      </c>
      <c r="K95" s="114"/>
      <c r="L95" s="93">
        <f t="shared" si="4"/>
        <v>111.0824445</v>
      </c>
    </row>
    <row r="96" ht="30.0" customHeight="1">
      <c r="A96" s="11">
        <v>90.0</v>
      </c>
      <c r="B96" s="104" t="s">
        <v>238</v>
      </c>
      <c r="C96" s="13"/>
      <c r="D96" s="30" t="s">
        <v>94</v>
      </c>
      <c r="E96" s="100">
        <v>46177.0</v>
      </c>
      <c r="F96" s="14"/>
      <c r="G96" s="93">
        <v>101.83</v>
      </c>
      <c r="H96" s="105">
        <v>180.0</v>
      </c>
      <c r="I96" s="93">
        <f t="shared" si="1"/>
        <v>0.845189</v>
      </c>
      <c r="J96" s="93">
        <f t="shared" si="2"/>
        <v>282.675189</v>
      </c>
      <c r="K96" s="114"/>
      <c r="L96" s="93">
        <f t="shared" si="4"/>
        <v>282.675189</v>
      </c>
    </row>
    <row r="97" ht="30.0" customHeight="1">
      <c r="A97" s="11">
        <v>91.0</v>
      </c>
      <c r="B97" s="104" t="s">
        <v>239</v>
      </c>
      <c r="C97" s="13"/>
      <c r="D97" s="30" t="s">
        <v>94</v>
      </c>
      <c r="E97" s="100">
        <v>46169.0</v>
      </c>
      <c r="F97" s="14"/>
      <c r="G97" s="93">
        <v>100.415</v>
      </c>
      <c r="H97" s="105">
        <v>50.0</v>
      </c>
      <c r="I97" s="93">
        <f t="shared" si="1"/>
        <v>0.8334445</v>
      </c>
      <c r="J97" s="93">
        <f t="shared" si="2"/>
        <v>151.2484445</v>
      </c>
      <c r="K97" s="114"/>
      <c r="L97" s="93">
        <f t="shared" si="4"/>
        <v>151.2484445</v>
      </c>
    </row>
    <row r="98" ht="30.0" customHeight="1">
      <c r="A98" s="11">
        <v>92.0</v>
      </c>
      <c r="B98" s="104" t="s">
        <v>240</v>
      </c>
      <c r="C98" s="13"/>
      <c r="D98" s="30" t="s">
        <v>94</v>
      </c>
      <c r="E98" s="100">
        <v>46196.0</v>
      </c>
      <c r="F98" s="14"/>
      <c r="G98" s="93">
        <v>25.083</v>
      </c>
      <c r="H98" s="105">
        <v>10.0</v>
      </c>
      <c r="I98" s="93">
        <f t="shared" si="1"/>
        <v>0.2081889</v>
      </c>
      <c r="J98" s="93">
        <f t="shared" si="2"/>
        <v>35.2911889</v>
      </c>
      <c r="K98" s="114"/>
      <c r="L98" s="93">
        <f t="shared" si="4"/>
        <v>35.2911889</v>
      </c>
    </row>
    <row r="99" ht="30.0" customHeight="1">
      <c r="A99" s="11">
        <v>93.0</v>
      </c>
      <c r="B99" s="104" t="s">
        <v>256</v>
      </c>
      <c r="C99" s="13"/>
      <c r="D99" s="30" t="s">
        <v>94</v>
      </c>
      <c r="E99" s="100">
        <v>46174.0</v>
      </c>
      <c r="F99" s="14"/>
      <c r="G99" s="93"/>
      <c r="H99" s="105">
        <v>10.0</v>
      </c>
      <c r="I99" s="93">
        <f t="shared" si="1"/>
        <v>0</v>
      </c>
      <c r="J99" s="93">
        <f t="shared" si="2"/>
        <v>10</v>
      </c>
      <c r="K99" s="114"/>
      <c r="L99" s="93">
        <f t="shared" si="4"/>
        <v>10</v>
      </c>
    </row>
    <row r="100" ht="30.0" customHeight="1">
      <c r="A100" s="11"/>
      <c r="B100" s="104"/>
      <c r="C100" s="13"/>
      <c r="D100" s="30"/>
      <c r="E100" s="100"/>
      <c r="F100" s="14"/>
      <c r="G100" s="93"/>
      <c r="H100" s="105"/>
      <c r="I100" s="93">
        <f t="shared" si="1"/>
        <v>0</v>
      </c>
      <c r="J100" s="93">
        <f t="shared" si="2"/>
        <v>0</v>
      </c>
      <c r="K100" s="114"/>
      <c r="L100" s="93">
        <f t="shared" si="4"/>
        <v>0</v>
      </c>
    </row>
    <row r="101" ht="30.0" customHeight="1">
      <c r="A101" s="11"/>
      <c r="B101" s="104"/>
      <c r="C101" s="13"/>
      <c r="D101" s="30"/>
      <c r="E101" s="100"/>
      <c r="F101" s="14"/>
      <c r="G101" s="93"/>
      <c r="H101" s="105"/>
      <c r="I101" s="93">
        <f t="shared" si="1"/>
        <v>0</v>
      </c>
      <c r="J101" s="93">
        <f t="shared" si="2"/>
        <v>0</v>
      </c>
      <c r="K101" s="114"/>
      <c r="L101" s="93">
        <f t="shared" si="4"/>
        <v>0</v>
      </c>
    </row>
    <row r="102" ht="15.0" customHeight="1">
      <c r="A102" s="17"/>
      <c r="B102" s="13"/>
      <c r="C102" s="13"/>
      <c r="D102" s="13"/>
      <c r="E102" s="13"/>
      <c r="F102" s="13"/>
      <c r="G102" s="55">
        <f t="shared" ref="G102:L102" si="5">SUM(G7:G101)</f>
        <v>77237.71756</v>
      </c>
      <c r="H102" s="55">
        <f t="shared" si="5"/>
        <v>1566.8</v>
      </c>
      <c r="I102" s="55">
        <f t="shared" si="5"/>
        <v>641.0730558</v>
      </c>
      <c r="J102" s="55">
        <f t="shared" si="5"/>
        <v>79445.59062</v>
      </c>
      <c r="K102" s="55">
        <f t="shared" si="5"/>
        <v>71.71</v>
      </c>
      <c r="L102" s="55">
        <f t="shared" si="5"/>
        <v>79373.88062</v>
      </c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6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21"/>
      <c r="L104" s="4"/>
    </row>
    <row r="105" ht="15.75" customHeight="1"/>
    <row r="106" ht="15.75" customHeight="1"/>
    <row r="107" ht="15.75" customHeight="1"/>
    <row r="108" ht="15.75" customHeight="1">
      <c r="H108" s="107"/>
    </row>
    <row r="109" ht="15.75" customHeight="1">
      <c r="H109" s="107"/>
    </row>
    <row r="110" ht="15.75" customHeight="1">
      <c r="H110" s="107"/>
    </row>
    <row r="111" ht="15.75" customHeight="1">
      <c r="H111" s="107"/>
    </row>
    <row r="112" ht="15.75" customHeight="1">
      <c r="H112" s="107"/>
    </row>
    <row r="113" ht="15.75" customHeight="1">
      <c r="H113" s="107"/>
    </row>
    <row r="114" ht="15.75" customHeight="1">
      <c r="H114" s="107"/>
    </row>
    <row r="115" ht="15.75" customHeight="1">
      <c r="H115" s="107"/>
    </row>
    <row r="116" ht="15.75" customHeight="1">
      <c r="H116" s="107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</sheetData>
  <autoFilter ref="$A$6:$L$102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2.71"/>
    <col customWidth="1" min="3" max="3" width="5.43"/>
    <col customWidth="1" min="4" max="4" width="10.71"/>
    <col customWidth="1" min="5" max="5" width="11.14"/>
    <col customWidth="1" min="6" max="6" width="17.0"/>
    <col customWidth="1" min="7" max="7" width="13.71"/>
    <col customWidth="1" min="8" max="8" width="12.71"/>
    <col customWidth="1" min="9" max="9" width="11.29"/>
    <col customWidth="1" min="10" max="10" width="14.57"/>
    <col customWidth="1" min="11" max="11" width="14.14"/>
    <col customWidth="1" min="12" max="12" width="16.14"/>
  </cols>
  <sheetData>
    <row r="1">
      <c r="A1" s="28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28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28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>
      <c r="A4" s="28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>
      <c r="A5" s="99" t="s">
        <v>257</v>
      </c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>
      <c r="A6" s="8" t="s">
        <v>79</v>
      </c>
      <c r="B6" s="9" t="s">
        <v>80</v>
      </c>
      <c r="C6" s="9" t="s">
        <v>81</v>
      </c>
      <c r="D6" s="9" t="s">
        <v>82</v>
      </c>
      <c r="E6" s="9" t="s">
        <v>83</v>
      </c>
      <c r="F6" s="9" t="s">
        <v>84</v>
      </c>
      <c r="G6" s="9" t="s">
        <v>85</v>
      </c>
      <c r="H6" s="9" t="s">
        <v>86</v>
      </c>
      <c r="I6" s="9" t="s">
        <v>87</v>
      </c>
      <c r="J6" s="9" t="s">
        <v>88</v>
      </c>
      <c r="K6" s="9" t="s">
        <v>89</v>
      </c>
      <c r="L6" s="9" t="s">
        <v>90</v>
      </c>
    </row>
    <row r="7" ht="24.75" customHeight="1">
      <c r="A7" s="11">
        <v>1.0</v>
      </c>
      <c r="B7" s="30" t="s">
        <v>131</v>
      </c>
      <c r="C7" s="30" t="s">
        <v>91</v>
      </c>
      <c r="D7" s="30" t="s">
        <v>92</v>
      </c>
      <c r="E7" s="100"/>
      <c r="F7" s="31"/>
      <c r="G7" s="93">
        <v>5745.032395392916</v>
      </c>
      <c r="H7" s="105"/>
      <c r="I7" s="93">
        <f t="shared" ref="I7:I101" si="1">G7*0.83%</f>
        <v>47.68376888</v>
      </c>
      <c r="J7" s="93">
        <f t="shared" ref="J7:J101" si="2">G7+H7+I7</f>
        <v>5792.716164</v>
      </c>
      <c r="K7" s="114"/>
      <c r="L7" s="93">
        <f t="shared" ref="L7:L34" si="3">J7-K7</f>
        <v>5792.716164</v>
      </c>
    </row>
    <row r="8" ht="24.75" customHeight="1">
      <c r="A8" s="11">
        <v>2.0</v>
      </c>
      <c r="B8" s="30" t="s">
        <v>33</v>
      </c>
      <c r="C8" s="30" t="s">
        <v>91</v>
      </c>
      <c r="D8" s="34" t="s">
        <v>209</v>
      </c>
      <c r="E8" s="100"/>
      <c r="F8" s="31"/>
      <c r="G8" s="93">
        <v>9742.641902889887</v>
      </c>
      <c r="H8" s="105"/>
      <c r="I8" s="93">
        <f t="shared" si="1"/>
        <v>80.86392779</v>
      </c>
      <c r="J8" s="93">
        <f t="shared" si="2"/>
        <v>9823.505831</v>
      </c>
      <c r="K8" s="114"/>
      <c r="L8" s="93">
        <f t="shared" si="3"/>
        <v>9823.505831</v>
      </c>
    </row>
    <row r="9" ht="24.75" customHeight="1">
      <c r="A9" s="11">
        <v>3.0</v>
      </c>
      <c r="B9" s="30" t="s">
        <v>34</v>
      </c>
      <c r="C9" s="30" t="s">
        <v>91</v>
      </c>
      <c r="D9" s="30" t="s">
        <v>92</v>
      </c>
      <c r="E9" s="100"/>
      <c r="F9" s="31"/>
      <c r="G9" s="93">
        <v>9989.1151203751</v>
      </c>
      <c r="H9" s="105"/>
      <c r="I9" s="93">
        <f t="shared" si="1"/>
        <v>82.9096555</v>
      </c>
      <c r="J9" s="93">
        <f t="shared" si="2"/>
        <v>10072.02478</v>
      </c>
      <c r="K9" s="114"/>
      <c r="L9" s="93">
        <f t="shared" si="3"/>
        <v>10072.02478</v>
      </c>
    </row>
    <row r="10" ht="24.75" customHeight="1">
      <c r="A10" s="11">
        <v>4.0</v>
      </c>
      <c r="B10" s="34" t="s">
        <v>35</v>
      </c>
      <c r="C10" s="34" t="s">
        <v>93</v>
      </c>
      <c r="D10" s="34" t="s">
        <v>92</v>
      </c>
      <c r="E10" s="35"/>
      <c r="F10" s="31" t="s">
        <v>101</v>
      </c>
      <c r="G10" s="93">
        <v>237.5905596296329</v>
      </c>
      <c r="H10" s="105"/>
      <c r="I10" s="93">
        <f t="shared" si="1"/>
        <v>1.972001645</v>
      </c>
      <c r="J10" s="93">
        <f t="shared" si="2"/>
        <v>239.5625613</v>
      </c>
      <c r="K10" s="114"/>
      <c r="L10" s="93">
        <f t="shared" si="3"/>
        <v>239.5625613</v>
      </c>
    </row>
    <row r="11" ht="24.75" customHeight="1">
      <c r="A11" s="11">
        <v>5.0</v>
      </c>
      <c r="B11" s="34" t="s">
        <v>189</v>
      </c>
      <c r="C11" s="34" t="s">
        <v>91</v>
      </c>
      <c r="D11" s="34" t="s">
        <v>92</v>
      </c>
      <c r="E11" s="100"/>
      <c r="F11" s="35"/>
      <c r="G11" s="93">
        <v>838.4406484050983</v>
      </c>
      <c r="H11" s="105"/>
      <c r="I11" s="93">
        <f t="shared" si="1"/>
        <v>6.959057382</v>
      </c>
      <c r="J11" s="93">
        <f t="shared" si="2"/>
        <v>845.3997058</v>
      </c>
      <c r="K11" s="114"/>
      <c r="L11" s="93">
        <f t="shared" si="3"/>
        <v>845.3997058</v>
      </c>
    </row>
    <row r="12" ht="24.75" customHeight="1">
      <c r="A12" s="11">
        <v>6.0</v>
      </c>
      <c r="B12" s="34" t="s">
        <v>37</v>
      </c>
      <c r="C12" s="34" t="s">
        <v>91</v>
      </c>
      <c r="D12" s="34" t="s">
        <v>92</v>
      </c>
      <c r="E12" s="100">
        <v>46204.0</v>
      </c>
      <c r="F12" s="35"/>
      <c r="G12" s="93">
        <v>1886.215872863867</v>
      </c>
      <c r="H12" s="105">
        <v>50.0</v>
      </c>
      <c r="I12" s="93">
        <f t="shared" si="1"/>
        <v>15.65559174</v>
      </c>
      <c r="J12" s="93">
        <f t="shared" si="2"/>
        <v>1951.871465</v>
      </c>
      <c r="K12" s="114"/>
      <c r="L12" s="93">
        <f t="shared" si="3"/>
        <v>1951.871465</v>
      </c>
    </row>
    <row r="13" ht="24.75" customHeight="1">
      <c r="A13" s="11">
        <v>7.0</v>
      </c>
      <c r="B13" s="34" t="s">
        <v>38</v>
      </c>
      <c r="C13" s="34" t="s">
        <v>91</v>
      </c>
      <c r="D13" s="34" t="s">
        <v>92</v>
      </c>
      <c r="E13" s="100"/>
      <c r="F13" s="35"/>
      <c r="G13" s="93">
        <v>10148.874206928755</v>
      </c>
      <c r="H13" s="105"/>
      <c r="I13" s="93">
        <f t="shared" si="1"/>
        <v>84.23565592</v>
      </c>
      <c r="J13" s="93">
        <f t="shared" si="2"/>
        <v>10233.10986</v>
      </c>
      <c r="K13" s="114"/>
      <c r="L13" s="93">
        <f t="shared" si="3"/>
        <v>10233.10986</v>
      </c>
    </row>
    <row r="14" ht="24.75" customHeight="1">
      <c r="A14" s="11">
        <v>8.0</v>
      </c>
      <c r="B14" s="30" t="s">
        <v>173</v>
      </c>
      <c r="C14" s="30" t="s">
        <v>91</v>
      </c>
      <c r="D14" s="30" t="s">
        <v>92</v>
      </c>
      <c r="E14" s="100">
        <v>46206.0</v>
      </c>
      <c r="F14" s="31"/>
      <c r="G14" s="93">
        <v>4410.5637877838835</v>
      </c>
      <c r="H14" s="105">
        <v>608.0</v>
      </c>
      <c r="I14" s="93">
        <f t="shared" si="1"/>
        <v>36.60767944</v>
      </c>
      <c r="J14" s="93">
        <f t="shared" si="2"/>
        <v>5055.171467</v>
      </c>
      <c r="K14" s="114"/>
      <c r="L14" s="93">
        <f t="shared" si="3"/>
        <v>5055.171467</v>
      </c>
    </row>
    <row r="15" ht="24.75" customHeight="1">
      <c r="A15" s="11">
        <v>9.0</v>
      </c>
      <c r="B15" s="30" t="s">
        <v>174</v>
      </c>
      <c r="C15" s="30" t="s">
        <v>91</v>
      </c>
      <c r="D15" s="30" t="s">
        <v>94</v>
      </c>
      <c r="E15" s="100">
        <v>46204.0</v>
      </c>
      <c r="F15" s="31"/>
      <c r="G15" s="93">
        <v>4773.835436073674</v>
      </c>
      <c r="H15" s="105">
        <v>20.0</v>
      </c>
      <c r="I15" s="93">
        <f t="shared" si="1"/>
        <v>39.62283412</v>
      </c>
      <c r="J15" s="93">
        <f t="shared" si="2"/>
        <v>4833.45827</v>
      </c>
      <c r="K15" s="114"/>
      <c r="L15" s="93">
        <f t="shared" si="3"/>
        <v>4833.45827</v>
      </c>
    </row>
    <row r="16" ht="24.75" customHeight="1">
      <c r="A16" s="11">
        <v>10.0</v>
      </c>
      <c r="B16" s="30" t="s">
        <v>49</v>
      </c>
      <c r="C16" s="30" t="s">
        <v>91</v>
      </c>
      <c r="D16" s="30" t="s">
        <v>94</v>
      </c>
      <c r="E16" s="123">
        <v>46213.0</v>
      </c>
      <c r="F16" s="31" t="s">
        <v>38</v>
      </c>
      <c r="G16" s="93">
        <v>387.99086476674466</v>
      </c>
      <c r="H16" s="105">
        <v>10.0</v>
      </c>
      <c r="I16" s="93">
        <f t="shared" si="1"/>
        <v>3.220324178</v>
      </c>
      <c r="J16" s="93">
        <f t="shared" si="2"/>
        <v>401.2111889</v>
      </c>
      <c r="K16" s="114"/>
      <c r="L16" s="93">
        <f t="shared" si="3"/>
        <v>401.2111889</v>
      </c>
    </row>
    <row r="17" ht="24.75" customHeight="1">
      <c r="A17" s="11">
        <v>11.0</v>
      </c>
      <c r="B17" s="30" t="s">
        <v>58</v>
      </c>
      <c r="C17" s="30" t="s">
        <v>93</v>
      </c>
      <c r="D17" s="30" t="s">
        <v>94</v>
      </c>
      <c r="E17" s="100">
        <v>46204.0</v>
      </c>
      <c r="F17" s="31" t="s">
        <v>39</v>
      </c>
      <c r="G17" s="93">
        <v>739.1870138431453</v>
      </c>
      <c r="H17" s="105">
        <v>20.0</v>
      </c>
      <c r="I17" s="93">
        <f t="shared" si="1"/>
        <v>6.135252215</v>
      </c>
      <c r="J17" s="93">
        <f t="shared" si="2"/>
        <v>765.3222661</v>
      </c>
      <c r="K17" s="114"/>
      <c r="L17" s="93">
        <f t="shared" si="3"/>
        <v>765.3222661</v>
      </c>
    </row>
    <row r="18" ht="24.75" customHeight="1">
      <c r="A18" s="11">
        <v>12.0</v>
      </c>
      <c r="B18" s="30" t="s">
        <v>51</v>
      </c>
      <c r="C18" s="30" t="s">
        <v>91</v>
      </c>
      <c r="D18" s="30" t="s">
        <v>94</v>
      </c>
      <c r="E18" s="31"/>
      <c r="F18" s="31" t="s">
        <v>34</v>
      </c>
      <c r="G18" s="93">
        <v>131.15505998161157</v>
      </c>
      <c r="H18" s="105"/>
      <c r="I18" s="93">
        <f t="shared" si="1"/>
        <v>1.088586998</v>
      </c>
      <c r="J18" s="93">
        <f t="shared" si="2"/>
        <v>132.243647</v>
      </c>
      <c r="K18" s="114"/>
      <c r="L18" s="93">
        <f t="shared" si="3"/>
        <v>132.243647</v>
      </c>
    </row>
    <row r="19" ht="24.75" customHeight="1">
      <c r="A19" s="11">
        <v>13.0</v>
      </c>
      <c r="B19" s="110" t="s">
        <v>246</v>
      </c>
      <c r="C19" s="30" t="s">
        <v>91</v>
      </c>
      <c r="D19" s="30" t="s">
        <v>94</v>
      </c>
      <c r="E19" s="123"/>
      <c r="F19" s="31" t="s">
        <v>38</v>
      </c>
      <c r="G19" s="93">
        <v>103.8178273923948</v>
      </c>
      <c r="H19" s="105"/>
      <c r="I19" s="93">
        <f t="shared" si="1"/>
        <v>0.8616879674</v>
      </c>
      <c r="J19" s="93">
        <f t="shared" si="2"/>
        <v>104.6795154</v>
      </c>
      <c r="K19" s="114"/>
      <c r="L19" s="93">
        <f t="shared" si="3"/>
        <v>104.6795154</v>
      </c>
    </row>
    <row r="20" ht="27.75" customHeight="1">
      <c r="A20" s="11">
        <v>14.0</v>
      </c>
      <c r="B20" s="30" t="s">
        <v>72</v>
      </c>
      <c r="C20" s="30" t="s">
        <v>91</v>
      </c>
      <c r="D20" s="30" t="s">
        <v>94</v>
      </c>
      <c r="E20" s="100">
        <v>46216.0</v>
      </c>
      <c r="F20" s="31" t="s">
        <v>38</v>
      </c>
      <c r="G20" s="93">
        <v>394.0350958689874</v>
      </c>
      <c r="H20" s="105">
        <v>25.0</v>
      </c>
      <c r="I20" s="93">
        <f t="shared" si="1"/>
        <v>3.270491296</v>
      </c>
      <c r="J20" s="93">
        <f t="shared" si="2"/>
        <v>422.3055872</v>
      </c>
      <c r="K20" s="114"/>
      <c r="L20" s="93">
        <f t="shared" si="3"/>
        <v>422.3055872</v>
      </c>
    </row>
    <row r="21" ht="24.75" customHeight="1">
      <c r="A21" s="11">
        <v>15.0</v>
      </c>
      <c r="B21" s="34" t="s">
        <v>54</v>
      </c>
      <c r="C21" s="34" t="s">
        <v>91</v>
      </c>
      <c r="D21" s="30" t="s">
        <v>94</v>
      </c>
      <c r="E21" s="31"/>
      <c r="F21" s="35" t="s">
        <v>34</v>
      </c>
      <c r="G21" s="93">
        <v>3273.952170931367</v>
      </c>
      <c r="H21" s="105"/>
      <c r="I21" s="93">
        <f t="shared" si="1"/>
        <v>27.17380302</v>
      </c>
      <c r="J21" s="93">
        <f t="shared" si="2"/>
        <v>3301.125974</v>
      </c>
      <c r="K21" s="114"/>
      <c r="L21" s="93">
        <f t="shared" si="3"/>
        <v>3301.125974</v>
      </c>
    </row>
    <row r="22" ht="24.75" customHeight="1">
      <c r="A22" s="11">
        <v>16.0</v>
      </c>
      <c r="B22" s="30" t="s">
        <v>55</v>
      </c>
      <c r="C22" s="30" t="s">
        <v>91</v>
      </c>
      <c r="D22" s="30" t="s">
        <v>94</v>
      </c>
      <c r="E22" s="100">
        <v>46205.0</v>
      </c>
      <c r="F22" s="31" t="s">
        <v>33</v>
      </c>
      <c r="G22" s="93">
        <v>1150.5510387926506</v>
      </c>
      <c r="H22" s="105">
        <v>35.0</v>
      </c>
      <c r="I22" s="93">
        <f t="shared" si="1"/>
        <v>9.549573622</v>
      </c>
      <c r="J22" s="93">
        <f t="shared" si="2"/>
        <v>1195.100612</v>
      </c>
      <c r="K22" s="114"/>
      <c r="L22" s="93">
        <f t="shared" si="3"/>
        <v>1195.100612</v>
      </c>
    </row>
    <row r="23" ht="24.75" customHeight="1">
      <c r="A23" s="11">
        <v>17.0</v>
      </c>
      <c r="B23" s="30" t="s">
        <v>40</v>
      </c>
      <c r="C23" s="30" t="s">
        <v>91</v>
      </c>
      <c r="D23" s="30" t="s">
        <v>94</v>
      </c>
      <c r="E23" s="100">
        <v>46213.0</v>
      </c>
      <c r="F23" s="31" t="s">
        <v>38</v>
      </c>
      <c r="G23" s="93">
        <v>138.61655368365382</v>
      </c>
      <c r="H23" s="105">
        <v>20.0</v>
      </c>
      <c r="I23" s="93">
        <f t="shared" si="1"/>
        <v>1.150517396</v>
      </c>
      <c r="J23" s="93">
        <f t="shared" si="2"/>
        <v>159.7670711</v>
      </c>
      <c r="K23" s="114"/>
      <c r="L23" s="93">
        <f t="shared" si="3"/>
        <v>159.7670711</v>
      </c>
    </row>
    <row r="24" ht="24.75" customHeight="1">
      <c r="A24" s="11">
        <v>18.0</v>
      </c>
      <c r="B24" s="30" t="s">
        <v>95</v>
      </c>
      <c r="C24" s="30" t="s">
        <v>93</v>
      </c>
      <c r="D24" s="30" t="s">
        <v>94</v>
      </c>
      <c r="E24" s="100">
        <v>46204.0</v>
      </c>
      <c r="F24" s="31" t="s">
        <v>39</v>
      </c>
      <c r="G24" s="93">
        <v>1649.9174134554223</v>
      </c>
      <c r="H24" s="105">
        <v>100.0</v>
      </c>
      <c r="I24" s="93">
        <f t="shared" si="1"/>
        <v>13.69431453</v>
      </c>
      <c r="J24" s="93">
        <f t="shared" si="2"/>
        <v>1763.611728</v>
      </c>
      <c r="K24" s="114"/>
      <c r="L24" s="93">
        <f t="shared" si="3"/>
        <v>1763.611728</v>
      </c>
    </row>
    <row r="25" ht="24.75" customHeight="1">
      <c r="A25" s="11">
        <v>19.0</v>
      </c>
      <c r="B25" s="34" t="s">
        <v>97</v>
      </c>
      <c r="C25" s="30" t="s">
        <v>93</v>
      </c>
      <c r="D25" s="30" t="s">
        <v>94</v>
      </c>
      <c r="E25" s="31"/>
      <c r="F25" s="31" t="s">
        <v>34</v>
      </c>
      <c r="G25" s="93">
        <v>97.25690831317546</v>
      </c>
      <c r="H25" s="105"/>
      <c r="I25" s="93">
        <f t="shared" si="1"/>
        <v>0.807232339</v>
      </c>
      <c r="J25" s="93">
        <f t="shared" si="2"/>
        <v>98.06414065</v>
      </c>
      <c r="K25" s="114"/>
      <c r="L25" s="93">
        <f t="shared" si="3"/>
        <v>98.06414065</v>
      </c>
    </row>
    <row r="26" ht="24.75" customHeight="1">
      <c r="A26" s="11">
        <v>20.0</v>
      </c>
      <c r="B26" s="34" t="s">
        <v>98</v>
      </c>
      <c r="C26" s="34" t="s">
        <v>93</v>
      </c>
      <c r="D26" s="30" t="s">
        <v>94</v>
      </c>
      <c r="E26" s="123"/>
      <c r="F26" s="35" t="s">
        <v>38</v>
      </c>
      <c r="G26" s="93">
        <v>203.51078008061444</v>
      </c>
      <c r="H26" s="105"/>
      <c r="I26" s="93">
        <f t="shared" si="1"/>
        <v>1.689139475</v>
      </c>
      <c r="J26" s="93">
        <f t="shared" si="2"/>
        <v>205.1999196</v>
      </c>
      <c r="K26" s="114"/>
      <c r="L26" s="93">
        <f t="shared" si="3"/>
        <v>205.1999196</v>
      </c>
    </row>
    <row r="27" ht="24.75" customHeight="1">
      <c r="A27" s="11">
        <v>21.0</v>
      </c>
      <c r="B27" s="30" t="s">
        <v>61</v>
      </c>
      <c r="C27" s="30" t="s">
        <v>91</v>
      </c>
      <c r="D27" s="30" t="s">
        <v>94</v>
      </c>
      <c r="E27" s="31"/>
      <c r="F27" s="31" t="s">
        <v>38</v>
      </c>
      <c r="G27" s="93">
        <v>168.07496308767185</v>
      </c>
      <c r="H27" s="105"/>
      <c r="I27" s="93">
        <f t="shared" si="1"/>
        <v>1.395022194</v>
      </c>
      <c r="J27" s="93">
        <f t="shared" si="2"/>
        <v>169.4699853</v>
      </c>
      <c r="K27" s="114"/>
      <c r="L27" s="93">
        <f t="shared" si="3"/>
        <v>169.4699853</v>
      </c>
    </row>
    <row r="28" ht="24.75" customHeight="1">
      <c r="A28" s="11">
        <v>22.0</v>
      </c>
      <c r="B28" s="30" t="s">
        <v>63</v>
      </c>
      <c r="C28" s="30" t="s">
        <v>91</v>
      </c>
      <c r="D28" s="30" t="s">
        <v>94</v>
      </c>
      <c r="E28" s="100">
        <v>46204.0</v>
      </c>
      <c r="F28" s="31" t="s">
        <v>39</v>
      </c>
      <c r="G28" s="93">
        <v>1488.1668669792577</v>
      </c>
      <c r="H28" s="105">
        <v>50.0</v>
      </c>
      <c r="I28" s="93">
        <f t="shared" si="1"/>
        <v>12.351785</v>
      </c>
      <c r="J28" s="93">
        <f t="shared" si="2"/>
        <v>1550.518652</v>
      </c>
      <c r="K28" s="114"/>
      <c r="L28" s="93">
        <f t="shared" si="3"/>
        <v>1550.518652</v>
      </c>
    </row>
    <row r="29" ht="24.75" customHeight="1">
      <c r="A29" s="11">
        <v>23.0</v>
      </c>
      <c r="B29" s="34" t="s">
        <v>64</v>
      </c>
      <c r="C29" s="30" t="s">
        <v>91</v>
      </c>
      <c r="D29" s="30" t="s">
        <v>94</v>
      </c>
      <c r="E29" s="31"/>
      <c r="F29" s="31" t="s">
        <v>40</v>
      </c>
      <c r="G29" s="93">
        <v>792.3872125459826</v>
      </c>
      <c r="H29" s="105"/>
      <c r="I29" s="93">
        <f t="shared" si="1"/>
        <v>6.576813864</v>
      </c>
      <c r="J29" s="93">
        <f t="shared" si="2"/>
        <v>798.9640264</v>
      </c>
      <c r="K29" s="114"/>
      <c r="L29" s="93">
        <f t="shared" si="3"/>
        <v>798.9640264</v>
      </c>
    </row>
    <row r="30" ht="24.75" customHeight="1">
      <c r="A30" s="11">
        <v>24.0</v>
      </c>
      <c r="B30" s="30" t="s">
        <v>65</v>
      </c>
      <c r="C30" s="30" t="s">
        <v>91</v>
      </c>
      <c r="D30" s="30" t="s">
        <v>94</v>
      </c>
      <c r="E30" s="100">
        <v>46204.0</v>
      </c>
      <c r="F30" s="31" t="s">
        <v>39</v>
      </c>
      <c r="G30" s="93">
        <v>52.0529879519325</v>
      </c>
      <c r="H30" s="105">
        <v>20.0</v>
      </c>
      <c r="I30" s="93">
        <f t="shared" si="1"/>
        <v>0.4320398</v>
      </c>
      <c r="J30" s="93">
        <f t="shared" si="2"/>
        <v>72.48502775</v>
      </c>
      <c r="K30" s="114"/>
      <c r="L30" s="93">
        <f t="shared" si="3"/>
        <v>72.48502775</v>
      </c>
    </row>
    <row r="31" ht="24.75" customHeight="1">
      <c r="A31" s="11">
        <v>25.0</v>
      </c>
      <c r="B31" s="30" t="s">
        <v>66</v>
      </c>
      <c r="C31" s="30" t="s">
        <v>91</v>
      </c>
      <c r="D31" s="30" t="s">
        <v>94</v>
      </c>
      <c r="E31" s="31"/>
      <c r="F31" s="31" t="s">
        <v>33</v>
      </c>
      <c r="G31" s="93">
        <v>79.81617972298223</v>
      </c>
      <c r="H31" s="105"/>
      <c r="I31" s="93">
        <f t="shared" si="1"/>
        <v>0.6624742917</v>
      </c>
      <c r="J31" s="93">
        <f t="shared" si="2"/>
        <v>80.47865401</v>
      </c>
      <c r="K31" s="114"/>
      <c r="L31" s="93">
        <f t="shared" si="3"/>
        <v>80.47865401</v>
      </c>
    </row>
    <row r="32" ht="24.75" customHeight="1">
      <c r="A32" s="11">
        <v>26.0</v>
      </c>
      <c r="B32" s="30" t="s">
        <v>99</v>
      </c>
      <c r="C32" s="30" t="s">
        <v>91</v>
      </c>
      <c r="D32" s="30" t="s">
        <v>94</v>
      </c>
      <c r="E32" s="31"/>
      <c r="F32" s="31" t="s">
        <v>38</v>
      </c>
      <c r="G32" s="93">
        <v>269.3113766865375</v>
      </c>
      <c r="H32" s="105"/>
      <c r="I32" s="93">
        <f t="shared" si="1"/>
        <v>2.235284426</v>
      </c>
      <c r="J32" s="93">
        <f t="shared" si="2"/>
        <v>271.5466611</v>
      </c>
      <c r="K32" s="114"/>
      <c r="L32" s="93">
        <f t="shared" si="3"/>
        <v>271.5466611</v>
      </c>
    </row>
    <row r="33" ht="24.75" customHeight="1">
      <c r="A33" s="11">
        <v>27.0</v>
      </c>
      <c r="B33" s="30" t="s">
        <v>101</v>
      </c>
      <c r="C33" s="30" t="s">
        <v>93</v>
      </c>
      <c r="D33" s="30" t="s">
        <v>94</v>
      </c>
      <c r="E33" s="123"/>
      <c r="F33" s="31"/>
      <c r="G33" s="93">
        <v>2286.459390262692</v>
      </c>
      <c r="H33" s="105"/>
      <c r="I33" s="93">
        <f t="shared" si="1"/>
        <v>18.97761294</v>
      </c>
      <c r="J33" s="93">
        <f t="shared" si="2"/>
        <v>2305.437003</v>
      </c>
      <c r="K33" s="114"/>
      <c r="L33" s="93">
        <f t="shared" si="3"/>
        <v>2305.437003</v>
      </c>
    </row>
    <row r="34" ht="30.0" customHeight="1">
      <c r="A34" s="11">
        <v>28.0</v>
      </c>
      <c r="B34" s="30" t="s">
        <v>102</v>
      </c>
      <c r="C34" s="30"/>
      <c r="D34" s="30" t="s">
        <v>94</v>
      </c>
      <c r="E34" s="31"/>
      <c r="F34" s="31"/>
      <c r="G34" s="93">
        <v>19.435411455414165</v>
      </c>
      <c r="H34" s="105"/>
      <c r="I34" s="93">
        <f t="shared" si="1"/>
        <v>0.1613139151</v>
      </c>
      <c r="J34" s="93">
        <f t="shared" si="2"/>
        <v>19.59672537</v>
      </c>
      <c r="K34" s="114"/>
      <c r="L34" s="93">
        <f t="shared" si="3"/>
        <v>19.59672537</v>
      </c>
    </row>
    <row r="35" ht="30.0" customHeight="1">
      <c r="A35" s="11">
        <v>29.0</v>
      </c>
      <c r="B35" s="30" t="s">
        <v>104</v>
      </c>
      <c r="C35" s="30" t="s">
        <v>93</v>
      </c>
      <c r="D35" s="30" t="s">
        <v>94</v>
      </c>
      <c r="E35" s="100">
        <v>46212.0</v>
      </c>
      <c r="F35" s="31"/>
      <c r="G35" s="93">
        <v>503.82235239705227</v>
      </c>
      <c r="H35" s="105"/>
      <c r="I35" s="93">
        <f t="shared" si="1"/>
        <v>4.181725525</v>
      </c>
      <c r="J35" s="93">
        <f t="shared" si="2"/>
        <v>508.0040779</v>
      </c>
      <c r="K35" s="114">
        <v>508.0</v>
      </c>
      <c r="L35" s="33">
        <v>-3.261777072616212E-4</v>
      </c>
    </row>
    <row r="36" ht="30.0" customHeight="1">
      <c r="A36" s="11">
        <v>30.0</v>
      </c>
      <c r="B36" s="110" t="s">
        <v>247</v>
      </c>
      <c r="C36" s="34"/>
      <c r="D36" s="34" t="s">
        <v>94</v>
      </c>
      <c r="E36" s="100">
        <v>46206.0</v>
      </c>
      <c r="F36" s="35"/>
      <c r="G36" s="93">
        <v>600.8597738908238</v>
      </c>
      <c r="H36" s="105">
        <v>30.0</v>
      </c>
      <c r="I36" s="93">
        <f t="shared" si="1"/>
        <v>4.987136123</v>
      </c>
      <c r="J36" s="93">
        <f t="shared" si="2"/>
        <v>635.84691</v>
      </c>
      <c r="K36" s="114"/>
      <c r="L36" s="93">
        <f t="shared" ref="L36:L44" si="4">J36-K36</f>
        <v>635.84691</v>
      </c>
    </row>
    <row r="37" ht="30.0" customHeight="1">
      <c r="A37" s="11">
        <v>31.0</v>
      </c>
      <c r="B37" s="34" t="s">
        <v>175</v>
      </c>
      <c r="C37" s="34" t="s">
        <v>93</v>
      </c>
      <c r="D37" s="34" t="s">
        <v>94</v>
      </c>
      <c r="E37" s="100">
        <v>46205.0</v>
      </c>
      <c r="F37" s="35"/>
      <c r="G37" s="93">
        <v>1651.2589641506781</v>
      </c>
      <c r="H37" s="105">
        <v>100.0</v>
      </c>
      <c r="I37" s="93">
        <f t="shared" si="1"/>
        <v>13.7054494</v>
      </c>
      <c r="J37" s="93">
        <f t="shared" si="2"/>
        <v>1764.964414</v>
      </c>
      <c r="K37" s="114"/>
      <c r="L37" s="93">
        <f t="shared" si="4"/>
        <v>1764.964414</v>
      </c>
    </row>
    <row r="38" ht="30.0" customHeight="1">
      <c r="A38" s="11">
        <v>32.0</v>
      </c>
      <c r="B38" s="34" t="s">
        <v>108</v>
      </c>
      <c r="C38" s="34"/>
      <c r="D38" s="34" t="s">
        <v>94</v>
      </c>
      <c r="E38" s="31"/>
      <c r="F38" s="35"/>
      <c r="G38" s="93">
        <v>70.1727169147538</v>
      </c>
      <c r="H38" s="105"/>
      <c r="I38" s="93">
        <f t="shared" si="1"/>
        <v>0.5824335504</v>
      </c>
      <c r="J38" s="93">
        <f t="shared" si="2"/>
        <v>70.75515047</v>
      </c>
      <c r="K38" s="114"/>
      <c r="L38" s="93">
        <f t="shared" si="4"/>
        <v>70.75515047</v>
      </c>
    </row>
    <row r="39" ht="30.0" customHeight="1">
      <c r="A39" s="11">
        <v>33.0</v>
      </c>
      <c r="B39" s="34" t="s">
        <v>111</v>
      </c>
      <c r="C39" s="34"/>
      <c r="D39" s="34" t="s">
        <v>94</v>
      </c>
      <c r="E39" s="31"/>
      <c r="F39" s="35"/>
      <c r="G39" s="93">
        <v>75.5886903995876</v>
      </c>
      <c r="H39" s="105"/>
      <c r="I39" s="93">
        <f t="shared" si="1"/>
        <v>0.6273861303</v>
      </c>
      <c r="J39" s="93">
        <f t="shared" si="2"/>
        <v>76.21607653</v>
      </c>
      <c r="K39" s="114"/>
      <c r="L39" s="93">
        <f t="shared" si="4"/>
        <v>76.21607653</v>
      </c>
    </row>
    <row r="40" ht="30.0" customHeight="1">
      <c r="A40" s="11">
        <v>34.0</v>
      </c>
      <c r="B40" s="34" t="s">
        <v>112</v>
      </c>
      <c r="C40" s="34"/>
      <c r="D40" s="34" t="s">
        <v>94</v>
      </c>
      <c r="E40" s="31"/>
      <c r="F40" s="35"/>
      <c r="G40" s="93">
        <v>25.94844702643906</v>
      </c>
      <c r="H40" s="105"/>
      <c r="I40" s="93">
        <f t="shared" si="1"/>
        <v>0.2153721103</v>
      </c>
      <c r="J40" s="93">
        <f t="shared" si="2"/>
        <v>26.16381914</v>
      </c>
      <c r="K40" s="114"/>
      <c r="L40" s="93">
        <f t="shared" si="4"/>
        <v>26.16381914</v>
      </c>
    </row>
    <row r="41" ht="30.0" customHeight="1">
      <c r="A41" s="11">
        <v>35.0</v>
      </c>
      <c r="B41" s="34" t="s">
        <v>116</v>
      </c>
      <c r="C41" s="34"/>
      <c r="D41" s="34" t="s">
        <v>94</v>
      </c>
      <c r="E41" s="31"/>
      <c r="F41" s="35"/>
      <c r="G41" s="93">
        <v>12.708762054010544</v>
      </c>
      <c r="H41" s="105"/>
      <c r="I41" s="93">
        <f t="shared" si="1"/>
        <v>0.105482725</v>
      </c>
      <c r="J41" s="93">
        <f t="shared" si="2"/>
        <v>12.81424478</v>
      </c>
      <c r="K41" s="114"/>
      <c r="L41" s="93">
        <f t="shared" si="4"/>
        <v>12.81424478</v>
      </c>
    </row>
    <row r="42" ht="30.0" customHeight="1">
      <c r="A42" s="11">
        <v>36.0</v>
      </c>
      <c r="B42" s="30" t="s">
        <v>118</v>
      </c>
      <c r="C42" s="30"/>
      <c r="D42" s="30" t="s">
        <v>94</v>
      </c>
      <c r="E42" s="31"/>
      <c r="F42" s="31"/>
      <c r="G42" s="93">
        <v>25.417524108021087</v>
      </c>
      <c r="H42" s="105"/>
      <c r="I42" s="93">
        <f t="shared" si="1"/>
        <v>0.2109654501</v>
      </c>
      <c r="J42" s="93">
        <f t="shared" si="2"/>
        <v>25.62848956</v>
      </c>
      <c r="K42" s="114"/>
      <c r="L42" s="93">
        <f t="shared" si="4"/>
        <v>25.62848956</v>
      </c>
    </row>
    <row r="43" ht="30.0" customHeight="1">
      <c r="A43" s="11">
        <v>37.0</v>
      </c>
      <c r="B43" s="30" t="s">
        <v>176</v>
      </c>
      <c r="C43" s="34" t="s">
        <v>93</v>
      </c>
      <c r="D43" s="34" t="s">
        <v>94</v>
      </c>
      <c r="E43" s="100">
        <v>46218.0</v>
      </c>
      <c r="F43" s="35"/>
      <c r="G43" s="93">
        <v>175.49157504178993</v>
      </c>
      <c r="H43" s="105"/>
      <c r="I43" s="93">
        <f t="shared" si="1"/>
        <v>1.456580073</v>
      </c>
      <c r="J43" s="93">
        <f t="shared" si="2"/>
        <v>176.9481551</v>
      </c>
      <c r="K43" s="114">
        <v>70.9</v>
      </c>
      <c r="L43" s="93">
        <f t="shared" si="4"/>
        <v>106.0481551</v>
      </c>
    </row>
    <row r="44" ht="30.0" customHeight="1">
      <c r="A44" s="11">
        <v>38.0</v>
      </c>
      <c r="B44" s="30" t="s">
        <v>121</v>
      </c>
      <c r="C44" s="30"/>
      <c r="D44" s="30" t="s">
        <v>94</v>
      </c>
      <c r="E44" s="31"/>
      <c r="F44" s="31"/>
      <c r="G44" s="93">
        <v>12.604147628692397</v>
      </c>
      <c r="H44" s="105"/>
      <c r="I44" s="93">
        <f t="shared" si="1"/>
        <v>0.1046144253</v>
      </c>
      <c r="J44" s="93">
        <f t="shared" si="2"/>
        <v>12.70876205</v>
      </c>
      <c r="K44" s="114"/>
      <c r="L44" s="93">
        <f t="shared" si="4"/>
        <v>12.70876205</v>
      </c>
    </row>
    <row r="45" ht="30.0" customHeight="1">
      <c r="A45" s="112">
        <v>39.0</v>
      </c>
      <c r="B45" s="76" t="s">
        <v>161</v>
      </c>
      <c r="C45" s="76" t="s">
        <v>93</v>
      </c>
      <c r="D45" s="76" t="s">
        <v>94</v>
      </c>
      <c r="E45" s="124"/>
      <c r="F45" s="77"/>
      <c r="G45" s="113">
        <v>-3.261777072616212E-4</v>
      </c>
      <c r="H45" s="114"/>
      <c r="I45" s="71">
        <f t="shared" si="1"/>
        <v>-0.00000270727497</v>
      </c>
      <c r="J45" s="72">
        <f t="shared" si="2"/>
        <v>-0.0003288849822</v>
      </c>
      <c r="K45" s="114"/>
      <c r="L45" s="33">
        <v>-3.261777072616212E-4</v>
      </c>
    </row>
    <row r="46" ht="30.0" customHeight="1">
      <c r="A46" s="11">
        <v>40.0</v>
      </c>
      <c r="B46" s="54" t="s">
        <v>126</v>
      </c>
      <c r="C46" s="13" t="s">
        <v>91</v>
      </c>
      <c r="D46" s="30" t="s">
        <v>94</v>
      </c>
      <c r="E46" s="31"/>
      <c r="F46" s="14"/>
      <c r="G46" s="93">
        <v>155.57827277209284</v>
      </c>
      <c r="H46" s="105"/>
      <c r="I46" s="93">
        <f t="shared" si="1"/>
        <v>1.291299664</v>
      </c>
      <c r="J46" s="93">
        <f t="shared" si="2"/>
        <v>156.8695724</v>
      </c>
      <c r="K46" s="114"/>
      <c r="L46" s="93">
        <f t="shared" ref="L46:L101" si="5">J46-K46</f>
        <v>156.8695724</v>
      </c>
    </row>
    <row r="47" ht="30.0" customHeight="1">
      <c r="A47" s="11">
        <v>41.0</v>
      </c>
      <c r="B47" s="13" t="s">
        <v>127</v>
      </c>
      <c r="C47" s="13"/>
      <c r="D47" s="30" t="s">
        <v>94</v>
      </c>
      <c r="E47" s="31"/>
      <c r="F47" s="14"/>
      <c r="G47" s="93">
        <v>49.59167464945634</v>
      </c>
      <c r="H47" s="105"/>
      <c r="I47" s="93">
        <f t="shared" si="1"/>
        <v>0.4116108996</v>
      </c>
      <c r="J47" s="93">
        <f t="shared" si="2"/>
        <v>50.00328555</v>
      </c>
      <c r="K47" s="114"/>
      <c r="L47" s="93">
        <f t="shared" si="5"/>
        <v>50.00328555</v>
      </c>
    </row>
    <row r="48" ht="30.0" customHeight="1">
      <c r="A48" s="11">
        <v>42.0</v>
      </c>
      <c r="B48" s="13" t="s">
        <v>128</v>
      </c>
      <c r="C48" s="13"/>
      <c r="D48" s="30" t="s">
        <v>94</v>
      </c>
      <c r="E48" s="123"/>
      <c r="F48" s="14"/>
      <c r="G48" s="93">
        <v>273.16688112954375</v>
      </c>
      <c r="H48" s="105"/>
      <c r="I48" s="93">
        <f t="shared" si="1"/>
        <v>2.267285113</v>
      </c>
      <c r="J48" s="93">
        <f t="shared" si="2"/>
        <v>275.4341662</v>
      </c>
      <c r="K48" s="114"/>
      <c r="L48" s="93">
        <f t="shared" si="5"/>
        <v>275.4341662</v>
      </c>
    </row>
    <row r="49" ht="30.0" customHeight="1">
      <c r="A49" s="11">
        <v>43.0</v>
      </c>
      <c r="B49" s="13" t="s">
        <v>177</v>
      </c>
      <c r="C49" s="13" t="s">
        <v>91</v>
      </c>
      <c r="D49" s="30" t="s">
        <v>94</v>
      </c>
      <c r="E49" s="100">
        <v>46214.0</v>
      </c>
      <c r="F49" s="14" t="s">
        <v>101</v>
      </c>
      <c r="G49" s="93">
        <v>1485.74151310186</v>
      </c>
      <c r="H49" s="105">
        <v>10.0</v>
      </c>
      <c r="I49" s="93">
        <f t="shared" si="1"/>
        <v>12.33165456</v>
      </c>
      <c r="J49" s="93">
        <f t="shared" si="2"/>
        <v>1508.073168</v>
      </c>
      <c r="K49" s="114"/>
      <c r="L49" s="93">
        <f t="shared" si="5"/>
        <v>1508.073168</v>
      </c>
    </row>
    <row r="50" ht="30.0" customHeight="1">
      <c r="A50" s="11">
        <v>44.0</v>
      </c>
      <c r="B50" s="13" t="s">
        <v>132</v>
      </c>
      <c r="C50" s="13"/>
      <c r="D50" s="30" t="s">
        <v>94</v>
      </c>
      <c r="E50" s="31"/>
      <c r="F50" s="14"/>
      <c r="G50" s="93">
        <v>18.49419054210226</v>
      </c>
      <c r="H50" s="105"/>
      <c r="I50" s="93">
        <f t="shared" si="1"/>
        <v>0.1535017815</v>
      </c>
      <c r="J50" s="93">
        <f t="shared" si="2"/>
        <v>18.64769232</v>
      </c>
      <c r="K50" s="114"/>
      <c r="L50" s="93">
        <f t="shared" si="5"/>
        <v>18.64769232</v>
      </c>
    </row>
    <row r="51" ht="27.0" customHeight="1">
      <c r="A51" s="11">
        <v>45.0</v>
      </c>
      <c r="B51" s="13" t="s">
        <v>133</v>
      </c>
      <c r="C51" s="13" t="s">
        <v>93</v>
      </c>
      <c r="D51" s="30" t="s">
        <v>94</v>
      </c>
      <c r="E51" s="100">
        <v>46213.0</v>
      </c>
      <c r="F51" s="14"/>
      <c r="G51" s="93">
        <v>962.8012773417794</v>
      </c>
      <c r="H51" s="105">
        <v>20.0</v>
      </c>
      <c r="I51" s="93">
        <f t="shared" si="1"/>
        <v>7.991250602</v>
      </c>
      <c r="J51" s="93">
        <f t="shared" si="2"/>
        <v>990.7925279</v>
      </c>
      <c r="K51" s="114"/>
      <c r="L51" s="93">
        <f t="shared" si="5"/>
        <v>990.7925279</v>
      </c>
    </row>
    <row r="52" ht="30.0" customHeight="1">
      <c r="A52" s="11">
        <v>46.0</v>
      </c>
      <c r="B52" s="30" t="s">
        <v>134</v>
      </c>
      <c r="C52" s="13"/>
      <c r="D52" s="30" t="s">
        <v>94</v>
      </c>
      <c r="E52" s="100">
        <v>46216.0</v>
      </c>
      <c r="F52" s="14" t="s">
        <v>131</v>
      </c>
      <c r="G52" s="93">
        <v>79.80258291501777</v>
      </c>
      <c r="H52" s="105">
        <v>10.0</v>
      </c>
      <c r="I52" s="93">
        <f t="shared" si="1"/>
        <v>0.6623614382</v>
      </c>
      <c r="J52" s="93">
        <f t="shared" si="2"/>
        <v>90.46494435</v>
      </c>
      <c r="K52" s="114"/>
      <c r="L52" s="93">
        <f t="shared" si="5"/>
        <v>90.46494435</v>
      </c>
    </row>
    <row r="53" ht="30.0" customHeight="1">
      <c r="A53" s="11">
        <v>47.0</v>
      </c>
      <c r="B53" s="110" t="s">
        <v>248</v>
      </c>
      <c r="C53" s="13"/>
      <c r="D53" s="30" t="s">
        <v>94</v>
      </c>
      <c r="E53" s="100">
        <v>46216.0</v>
      </c>
      <c r="F53" s="14" t="s">
        <v>131</v>
      </c>
      <c r="G53" s="93">
        <v>615.5253033710394</v>
      </c>
      <c r="H53" s="105">
        <v>20.0</v>
      </c>
      <c r="I53" s="93">
        <f t="shared" si="1"/>
        <v>5.108860018</v>
      </c>
      <c r="J53" s="93">
        <f t="shared" si="2"/>
        <v>640.6341634</v>
      </c>
      <c r="K53" s="114"/>
      <c r="L53" s="93">
        <f t="shared" si="5"/>
        <v>640.6341634</v>
      </c>
    </row>
    <row r="54" ht="30.0" customHeight="1">
      <c r="A54" s="112">
        <v>48.0</v>
      </c>
      <c r="B54" s="67" t="s">
        <v>136</v>
      </c>
      <c r="C54" s="67"/>
      <c r="D54" s="68" t="s">
        <v>94</v>
      </c>
      <c r="E54" s="124"/>
      <c r="F54" s="69" t="s">
        <v>131</v>
      </c>
      <c r="G54" s="116">
        <v>-3.2888498223189265E-4</v>
      </c>
      <c r="H54" s="114"/>
      <c r="I54" s="72">
        <f t="shared" si="1"/>
        <v>-0.000002729745353</v>
      </c>
      <c r="J54" s="72">
        <f t="shared" si="2"/>
        <v>-0.0003316147276</v>
      </c>
      <c r="K54" s="114"/>
      <c r="L54" s="33">
        <f t="shared" si="5"/>
        <v>-0.0003316147276</v>
      </c>
    </row>
    <row r="55" ht="30.0" customHeight="1">
      <c r="A55" s="11">
        <v>49.0</v>
      </c>
      <c r="B55" s="13" t="s">
        <v>138</v>
      </c>
      <c r="C55" s="13"/>
      <c r="D55" s="30" t="s">
        <v>94</v>
      </c>
      <c r="E55" s="31"/>
      <c r="F55" s="14"/>
      <c r="G55" s="93">
        <v>12.295442969186755</v>
      </c>
      <c r="H55" s="105"/>
      <c r="I55" s="93">
        <f t="shared" si="1"/>
        <v>0.1020521766</v>
      </c>
      <c r="J55" s="93">
        <f t="shared" si="2"/>
        <v>12.39749515</v>
      </c>
      <c r="K55" s="114"/>
      <c r="L55" s="93">
        <f t="shared" si="5"/>
        <v>12.39749515</v>
      </c>
    </row>
    <row r="56" ht="30.0" customHeight="1">
      <c r="A56" s="11">
        <v>50.0</v>
      </c>
      <c r="B56" s="13" t="s">
        <v>142</v>
      </c>
      <c r="C56" s="13" t="s">
        <v>93</v>
      </c>
      <c r="D56" s="30" t="s">
        <v>94</v>
      </c>
      <c r="E56" s="122">
        <v>46219.0</v>
      </c>
      <c r="F56" s="14"/>
      <c r="G56" s="93">
        <v>199.5650945270327</v>
      </c>
      <c r="H56" s="105">
        <v>6.85</v>
      </c>
      <c r="I56" s="93">
        <f t="shared" si="1"/>
        <v>1.656390285</v>
      </c>
      <c r="J56" s="93">
        <f t="shared" si="2"/>
        <v>208.0714848</v>
      </c>
      <c r="K56" s="114"/>
      <c r="L56" s="93">
        <f t="shared" si="5"/>
        <v>208.0714848</v>
      </c>
    </row>
    <row r="57" ht="30.0" customHeight="1">
      <c r="A57" s="11">
        <v>51.0</v>
      </c>
      <c r="B57" s="13" t="s">
        <v>153</v>
      </c>
      <c r="C57" s="13" t="s">
        <v>93</v>
      </c>
      <c r="D57" s="30" t="s">
        <v>94</v>
      </c>
      <c r="E57" s="100">
        <v>46213.0</v>
      </c>
      <c r="F57" s="14"/>
      <c r="G57" s="93">
        <v>906.4120219564197</v>
      </c>
      <c r="H57" s="105">
        <v>25.0</v>
      </c>
      <c r="I57" s="93">
        <f t="shared" si="1"/>
        <v>7.523219782</v>
      </c>
      <c r="J57" s="93">
        <f t="shared" si="2"/>
        <v>938.9352417</v>
      </c>
      <c r="K57" s="114"/>
      <c r="L57" s="93">
        <f t="shared" si="5"/>
        <v>938.9352417</v>
      </c>
    </row>
    <row r="58" ht="30.0" customHeight="1">
      <c r="A58" s="11">
        <v>52.0</v>
      </c>
      <c r="B58" s="104" t="s">
        <v>255</v>
      </c>
      <c r="C58" s="13"/>
      <c r="D58" s="30" t="s">
        <v>94</v>
      </c>
      <c r="E58" s="123"/>
      <c r="F58" s="14"/>
      <c r="G58" s="93">
        <v>515.5266666062633</v>
      </c>
      <c r="H58" s="105"/>
      <c r="I58" s="93">
        <f t="shared" si="1"/>
        <v>4.278871333</v>
      </c>
      <c r="J58" s="93">
        <f t="shared" si="2"/>
        <v>519.8055379</v>
      </c>
      <c r="K58" s="114"/>
      <c r="L58" s="93">
        <f t="shared" si="5"/>
        <v>519.8055379</v>
      </c>
    </row>
    <row r="59" ht="30.0" customHeight="1">
      <c r="A59" s="11">
        <v>53.0</v>
      </c>
      <c r="B59" s="13" t="s">
        <v>155</v>
      </c>
      <c r="C59" s="13"/>
      <c r="D59" s="30" t="s">
        <v>94</v>
      </c>
      <c r="E59" s="123"/>
      <c r="F59" s="14"/>
      <c r="G59" s="93">
        <v>434.3513778558492</v>
      </c>
      <c r="H59" s="105"/>
      <c r="I59" s="93">
        <f t="shared" si="1"/>
        <v>3.605116436</v>
      </c>
      <c r="J59" s="93">
        <f t="shared" si="2"/>
        <v>437.9564943</v>
      </c>
      <c r="K59" s="114"/>
      <c r="L59" s="93">
        <f t="shared" si="5"/>
        <v>437.9564943</v>
      </c>
    </row>
    <row r="60" ht="30.0" customHeight="1">
      <c r="A60" s="11">
        <v>54.0</v>
      </c>
      <c r="B60" s="104" t="s">
        <v>249</v>
      </c>
      <c r="C60" s="13"/>
      <c r="D60" s="30" t="s">
        <v>94</v>
      </c>
      <c r="E60" s="100">
        <v>46213.0</v>
      </c>
      <c r="F60" s="14"/>
      <c r="G60" s="93">
        <v>371.0556036399972</v>
      </c>
      <c r="H60" s="105">
        <v>10.0</v>
      </c>
      <c r="I60" s="93">
        <f t="shared" si="1"/>
        <v>3.07976151</v>
      </c>
      <c r="J60" s="93">
        <f t="shared" si="2"/>
        <v>384.1353652</v>
      </c>
      <c r="K60" s="114"/>
      <c r="L60" s="93">
        <f t="shared" si="5"/>
        <v>384.1353652</v>
      </c>
    </row>
    <row r="61" ht="30.0" customHeight="1">
      <c r="A61" s="11">
        <v>55.0</v>
      </c>
      <c r="B61" s="13" t="s">
        <v>157</v>
      </c>
      <c r="C61" s="13"/>
      <c r="D61" s="30" t="s">
        <v>94</v>
      </c>
      <c r="E61" s="31"/>
      <c r="F61" s="14"/>
      <c r="G61" s="93">
        <v>28.16331235633569</v>
      </c>
      <c r="H61" s="105"/>
      <c r="I61" s="93">
        <f t="shared" si="1"/>
        <v>0.2337554926</v>
      </c>
      <c r="J61" s="93">
        <f t="shared" si="2"/>
        <v>28.39706785</v>
      </c>
      <c r="K61" s="114"/>
      <c r="L61" s="93">
        <f t="shared" si="5"/>
        <v>28.39706785</v>
      </c>
    </row>
    <row r="62" ht="30.0" customHeight="1">
      <c r="A62" s="11">
        <v>56.0</v>
      </c>
      <c r="B62" s="12" t="s">
        <v>179</v>
      </c>
      <c r="C62" s="12"/>
      <c r="D62" s="34" t="s">
        <v>94</v>
      </c>
      <c r="E62" s="100">
        <v>46204.0</v>
      </c>
      <c r="F62" s="22"/>
      <c r="G62" s="93">
        <v>1426.0732584205803</v>
      </c>
      <c r="H62" s="105">
        <v>100.0</v>
      </c>
      <c r="I62" s="93">
        <f t="shared" si="1"/>
        <v>11.83640804</v>
      </c>
      <c r="J62" s="93">
        <f t="shared" si="2"/>
        <v>1537.909666</v>
      </c>
      <c r="K62" s="114"/>
      <c r="L62" s="93">
        <f t="shared" si="5"/>
        <v>1537.909666</v>
      </c>
    </row>
    <row r="63" ht="30.0" customHeight="1">
      <c r="A63" s="11">
        <v>57.0</v>
      </c>
      <c r="B63" s="13" t="s">
        <v>160</v>
      </c>
      <c r="C63" s="13"/>
      <c r="D63" s="30" t="s">
        <v>94</v>
      </c>
      <c r="E63" s="123"/>
      <c r="F63" s="14"/>
      <c r="G63" s="93">
        <v>80.22263013307555</v>
      </c>
      <c r="H63" s="105"/>
      <c r="I63" s="93">
        <f t="shared" si="1"/>
        <v>0.6658478301</v>
      </c>
      <c r="J63" s="93">
        <f t="shared" si="2"/>
        <v>80.88847796</v>
      </c>
      <c r="K63" s="114"/>
      <c r="L63" s="93">
        <f t="shared" si="5"/>
        <v>80.88847796</v>
      </c>
    </row>
    <row r="64" ht="30.0" customHeight="1">
      <c r="A64" s="11">
        <v>58.0</v>
      </c>
      <c r="B64" s="13" t="s">
        <v>164</v>
      </c>
      <c r="C64" s="13"/>
      <c r="D64" s="30" t="s">
        <v>94</v>
      </c>
      <c r="E64" s="100">
        <v>46208.0</v>
      </c>
      <c r="F64" s="14"/>
      <c r="G64" s="93">
        <v>710.288318292476</v>
      </c>
      <c r="H64" s="105">
        <v>50.0</v>
      </c>
      <c r="I64" s="93">
        <f t="shared" si="1"/>
        <v>5.895393042</v>
      </c>
      <c r="J64" s="93">
        <f t="shared" si="2"/>
        <v>766.1837113</v>
      </c>
      <c r="K64" s="114"/>
      <c r="L64" s="93">
        <f t="shared" si="5"/>
        <v>766.1837113</v>
      </c>
    </row>
    <row r="65" ht="30.0" customHeight="1">
      <c r="A65" s="11">
        <v>59.0</v>
      </c>
      <c r="B65" s="13" t="s">
        <v>180</v>
      </c>
      <c r="C65" s="13" t="s">
        <v>93</v>
      </c>
      <c r="D65" s="30" t="s">
        <v>94</v>
      </c>
      <c r="E65" s="123"/>
      <c r="F65" s="14"/>
      <c r="G65" s="93">
        <v>520.9336106798748</v>
      </c>
      <c r="H65" s="105"/>
      <c r="I65" s="93">
        <f t="shared" si="1"/>
        <v>4.323748969</v>
      </c>
      <c r="J65" s="93">
        <f t="shared" si="2"/>
        <v>525.2573596</v>
      </c>
      <c r="K65" s="114"/>
      <c r="L65" s="93">
        <f t="shared" si="5"/>
        <v>525.2573596</v>
      </c>
    </row>
    <row r="66" ht="30.0" customHeight="1">
      <c r="A66" s="11">
        <v>60.0</v>
      </c>
      <c r="B66" s="13" t="s">
        <v>168</v>
      </c>
      <c r="C66" s="13"/>
      <c r="D66" s="30" t="s">
        <v>94</v>
      </c>
      <c r="E66" s="123"/>
      <c r="F66" s="14"/>
      <c r="G66" s="93">
        <v>138.94929194716792</v>
      </c>
      <c r="H66" s="105"/>
      <c r="I66" s="93">
        <f t="shared" si="1"/>
        <v>1.153279123</v>
      </c>
      <c r="J66" s="93">
        <f t="shared" si="2"/>
        <v>140.1025711</v>
      </c>
      <c r="K66" s="114"/>
      <c r="L66" s="93">
        <f t="shared" si="5"/>
        <v>140.1025711</v>
      </c>
    </row>
    <row r="67" ht="30.0" customHeight="1">
      <c r="A67" s="11">
        <v>61.0</v>
      </c>
      <c r="B67" s="13" t="s">
        <v>169</v>
      </c>
      <c r="C67" s="13"/>
      <c r="D67" s="30" t="s">
        <v>94</v>
      </c>
      <c r="E67" s="123"/>
      <c r="F67" s="14"/>
      <c r="G67" s="93">
        <v>149.20183205354002</v>
      </c>
      <c r="H67" s="105"/>
      <c r="I67" s="93">
        <f t="shared" si="1"/>
        <v>1.238375206</v>
      </c>
      <c r="J67" s="93">
        <f t="shared" si="2"/>
        <v>150.4402073</v>
      </c>
      <c r="K67" s="114"/>
      <c r="L67" s="93">
        <f t="shared" si="5"/>
        <v>150.4402073</v>
      </c>
    </row>
    <row r="68" ht="30.0" customHeight="1">
      <c r="A68" s="11">
        <v>62.0</v>
      </c>
      <c r="B68" s="104" t="s">
        <v>250</v>
      </c>
      <c r="C68" s="13"/>
      <c r="D68" s="30" t="s">
        <v>94</v>
      </c>
      <c r="E68" s="123"/>
      <c r="F68" s="14"/>
      <c r="G68" s="93">
        <v>127.46685215790731</v>
      </c>
      <c r="H68" s="105"/>
      <c r="I68" s="93">
        <f t="shared" si="1"/>
        <v>1.057974873</v>
      </c>
      <c r="J68" s="93">
        <f t="shared" si="2"/>
        <v>128.524827</v>
      </c>
      <c r="K68" s="114"/>
      <c r="L68" s="93">
        <f t="shared" si="5"/>
        <v>128.524827</v>
      </c>
    </row>
    <row r="69" ht="30.0" customHeight="1">
      <c r="A69" s="11">
        <v>63.0</v>
      </c>
      <c r="B69" s="104" t="s">
        <v>251</v>
      </c>
      <c r="C69" s="13"/>
      <c r="D69" s="30" t="s">
        <v>94</v>
      </c>
      <c r="E69" s="123"/>
      <c r="F69" s="14"/>
      <c r="G69" s="93">
        <v>280.92828546023827</v>
      </c>
      <c r="H69" s="105"/>
      <c r="I69" s="93">
        <f t="shared" si="1"/>
        <v>2.331704769</v>
      </c>
      <c r="J69" s="93">
        <f t="shared" si="2"/>
        <v>283.2599902</v>
      </c>
      <c r="K69" s="114"/>
      <c r="L69" s="93">
        <f t="shared" si="5"/>
        <v>283.2599902</v>
      </c>
    </row>
    <row r="70" ht="30.0" customHeight="1">
      <c r="A70" s="11">
        <v>64.0</v>
      </c>
      <c r="B70" s="13" t="s">
        <v>182</v>
      </c>
      <c r="C70" s="13"/>
      <c r="D70" s="30" t="s">
        <v>94</v>
      </c>
      <c r="E70" s="31"/>
      <c r="F70" s="14"/>
      <c r="G70" s="93">
        <v>74.79550866240211</v>
      </c>
      <c r="H70" s="105"/>
      <c r="I70" s="93">
        <f t="shared" si="1"/>
        <v>0.6208027219</v>
      </c>
      <c r="J70" s="93">
        <f t="shared" si="2"/>
        <v>75.41631138</v>
      </c>
      <c r="K70" s="114"/>
      <c r="L70" s="93">
        <f t="shared" si="5"/>
        <v>75.41631138</v>
      </c>
    </row>
    <row r="71" ht="30.0" customHeight="1">
      <c r="A71" s="112">
        <v>65.0</v>
      </c>
      <c r="B71" s="67" t="s">
        <v>183</v>
      </c>
      <c r="C71" s="67"/>
      <c r="D71" s="68" t="s">
        <v>94</v>
      </c>
      <c r="E71" s="125"/>
      <c r="F71" s="69"/>
      <c r="G71" s="118">
        <v>-0.0034040207999993743</v>
      </c>
      <c r="H71" s="114"/>
      <c r="I71" s="119">
        <f t="shared" si="1"/>
        <v>-0.00002825337264</v>
      </c>
      <c r="J71" s="72">
        <f t="shared" si="2"/>
        <v>-0.003432274173</v>
      </c>
      <c r="K71" s="114"/>
      <c r="L71" s="102">
        <f t="shared" si="5"/>
        <v>-0.003432274173</v>
      </c>
    </row>
    <row r="72" ht="30.0" customHeight="1">
      <c r="A72" s="11">
        <v>66.0</v>
      </c>
      <c r="B72" s="104" t="s">
        <v>252</v>
      </c>
      <c r="C72" s="13"/>
      <c r="D72" s="30" t="s">
        <v>94</v>
      </c>
      <c r="E72" s="100">
        <v>46213.0</v>
      </c>
      <c r="F72" s="14"/>
      <c r="G72" s="93">
        <v>224.57668234397545</v>
      </c>
      <c r="H72" s="105">
        <v>20.0</v>
      </c>
      <c r="I72" s="93">
        <f t="shared" si="1"/>
        <v>1.863986463</v>
      </c>
      <c r="J72" s="93">
        <f t="shared" si="2"/>
        <v>246.4406688</v>
      </c>
      <c r="K72" s="114"/>
      <c r="L72" s="93">
        <f t="shared" si="5"/>
        <v>246.4406688</v>
      </c>
    </row>
    <row r="73" ht="30.0" customHeight="1">
      <c r="A73" s="11">
        <v>67.0</v>
      </c>
      <c r="B73" s="98" t="s">
        <v>185</v>
      </c>
      <c r="C73" s="13"/>
      <c r="D73" s="30" t="s">
        <v>94</v>
      </c>
      <c r="E73" s="123"/>
      <c r="F73" s="14"/>
      <c r="G73" s="93">
        <v>251.26485259842087</v>
      </c>
      <c r="H73" s="105"/>
      <c r="I73" s="93">
        <f t="shared" si="1"/>
        <v>2.085498277</v>
      </c>
      <c r="J73" s="93">
        <f t="shared" si="2"/>
        <v>253.3503509</v>
      </c>
      <c r="K73" s="114"/>
      <c r="L73" s="93">
        <f t="shared" si="5"/>
        <v>253.3503509</v>
      </c>
    </row>
    <row r="74" ht="30.0" customHeight="1">
      <c r="A74" s="11">
        <v>68.0</v>
      </c>
      <c r="B74" s="104" t="s">
        <v>232</v>
      </c>
      <c r="C74" s="13" t="s">
        <v>93</v>
      </c>
      <c r="D74" s="30" t="s">
        <v>94</v>
      </c>
      <c r="E74" s="100">
        <v>46206.0</v>
      </c>
      <c r="F74" s="120" t="s">
        <v>175</v>
      </c>
      <c r="G74" s="93">
        <v>1008.9749730939533</v>
      </c>
      <c r="H74" s="105">
        <v>10.0</v>
      </c>
      <c r="I74" s="93">
        <f t="shared" si="1"/>
        <v>8.374492277</v>
      </c>
      <c r="J74" s="93">
        <f t="shared" si="2"/>
        <v>1027.349465</v>
      </c>
      <c r="K74" s="114"/>
      <c r="L74" s="93">
        <f t="shared" si="5"/>
        <v>1027.349465</v>
      </c>
    </row>
    <row r="75" ht="30.0" customHeight="1">
      <c r="A75" s="11">
        <v>69.0</v>
      </c>
      <c r="B75" s="104" t="s">
        <v>253</v>
      </c>
      <c r="C75" s="13"/>
      <c r="D75" s="30" t="s">
        <v>94</v>
      </c>
      <c r="E75" s="100">
        <v>46213.0</v>
      </c>
      <c r="F75" s="14"/>
      <c r="G75" s="93">
        <v>125.63242629921044</v>
      </c>
      <c r="H75" s="105"/>
      <c r="I75" s="93">
        <f t="shared" si="1"/>
        <v>1.042749138</v>
      </c>
      <c r="J75" s="93">
        <f t="shared" si="2"/>
        <v>126.6751754</v>
      </c>
      <c r="K75" s="114"/>
      <c r="L75" s="93">
        <f t="shared" si="5"/>
        <v>126.6751754</v>
      </c>
    </row>
    <row r="76" ht="30.0" customHeight="1">
      <c r="A76" s="11">
        <v>70.0</v>
      </c>
      <c r="B76" s="13" t="s">
        <v>191</v>
      </c>
      <c r="C76" s="13"/>
      <c r="D76" s="30" t="s">
        <v>94</v>
      </c>
      <c r="E76" s="123"/>
      <c r="F76" s="14"/>
      <c r="G76" s="93">
        <v>524.6791751114845</v>
      </c>
      <c r="H76" s="105"/>
      <c r="I76" s="93">
        <f t="shared" si="1"/>
        <v>4.354837153</v>
      </c>
      <c r="J76" s="93">
        <f t="shared" si="2"/>
        <v>529.0340123</v>
      </c>
      <c r="K76" s="114"/>
      <c r="L76" s="93">
        <f t="shared" si="5"/>
        <v>529.0340123</v>
      </c>
    </row>
    <row r="77" ht="30.0" customHeight="1">
      <c r="A77" s="11">
        <v>71.0</v>
      </c>
      <c r="B77" s="13" t="s">
        <v>192</v>
      </c>
      <c r="C77" s="13"/>
      <c r="D77" s="30" t="s">
        <v>94</v>
      </c>
      <c r="E77" s="123"/>
      <c r="F77" s="14"/>
      <c r="G77" s="93">
        <v>523.3816132322455</v>
      </c>
      <c r="H77" s="105"/>
      <c r="I77" s="93">
        <f t="shared" si="1"/>
        <v>4.34406739</v>
      </c>
      <c r="J77" s="93">
        <f t="shared" si="2"/>
        <v>527.7256806</v>
      </c>
      <c r="K77" s="114"/>
      <c r="L77" s="93">
        <f t="shared" si="5"/>
        <v>527.7256806</v>
      </c>
    </row>
    <row r="78" ht="30.0" customHeight="1">
      <c r="A78" s="11">
        <v>72.0</v>
      </c>
      <c r="B78" s="104" t="s">
        <v>233</v>
      </c>
      <c r="C78" s="13"/>
      <c r="D78" s="30" t="s">
        <v>94</v>
      </c>
      <c r="E78" s="100">
        <v>46213.0</v>
      </c>
      <c r="F78" s="14"/>
      <c r="G78" s="93">
        <v>128.55296462090237</v>
      </c>
      <c r="H78" s="105">
        <v>25.0</v>
      </c>
      <c r="I78" s="93">
        <f t="shared" si="1"/>
        <v>1.066989606</v>
      </c>
      <c r="J78" s="93">
        <f t="shared" si="2"/>
        <v>154.6199542</v>
      </c>
      <c r="K78" s="114"/>
      <c r="L78" s="93">
        <f t="shared" si="5"/>
        <v>154.6199542</v>
      </c>
    </row>
    <row r="79" ht="30.0" customHeight="1">
      <c r="A79" s="11">
        <v>73.0</v>
      </c>
      <c r="B79" s="13" t="s">
        <v>205</v>
      </c>
      <c r="C79" s="13"/>
      <c r="D79" s="30" t="s">
        <v>94</v>
      </c>
      <c r="E79" s="100">
        <v>46216.0</v>
      </c>
      <c r="F79" s="14"/>
      <c r="G79" s="93">
        <v>71.98143770097884</v>
      </c>
      <c r="H79" s="105">
        <v>10.0</v>
      </c>
      <c r="I79" s="93">
        <f t="shared" si="1"/>
        <v>0.5974459329</v>
      </c>
      <c r="J79" s="93">
        <f t="shared" si="2"/>
        <v>82.57888363</v>
      </c>
      <c r="K79" s="114"/>
      <c r="L79" s="93">
        <f t="shared" si="5"/>
        <v>82.57888363</v>
      </c>
    </row>
    <row r="80" ht="30.0" customHeight="1">
      <c r="A80" s="11">
        <v>74.0</v>
      </c>
      <c r="B80" s="13" t="s">
        <v>206</v>
      </c>
      <c r="C80" s="13"/>
      <c r="D80" s="30" t="s">
        <v>94</v>
      </c>
      <c r="E80" s="100">
        <v>46205.0</v>
      </c>
      <c r="F80" s="14"/>
      <c r="G80" s="93">
        <v>296.0453781600956</v>
      </c>
      <c r="H80" s="105">
        <v>50.0</v>
      </c>
      <c r="I80" s="93">
        <f t="shared" si="1"/>
        <v>2.457176639</v>
      </c>
      <c r="J80" s="93">
        <f t="shared" si="2"/>
        <v>348.5025548</v>
      </c>
      <c r="K80" s="114"/>
      <c r="L80" s="93">
        <f t="shared" si="5"/>
        <v>348.5025548</v>
      </c>
    </row>
    <row r="81" ht="30.0" customHeight="1">
      <c r="A81" s="11">
        <v>75.0</v>
      </c>
      <c r="B81" s="98" t="s">
        <v>207</v>
      </c>
      <c r="C81" s="13"/>
      <c r="D81" s="30" t="s">
        <v>94</v>
      </c>
      <c r="E81" s="100">
        <v>46207.0</v>
      </c>
      <c r="F81" s="14"/>
      <c r="G81" s="93">
        <v>246.04537816009562</v>
      </c>
      <c r="H81" s="105">
        <v>50.0</v>
      </c>
      <c r="I81" s="93">
        <f t="shared" si="1"/>
        <v>2.042176639</v>
      </c>
      <c r="J81" s="93">
        <f t="shared" si="2"/>
        <v>298.0875548</v>
      </c>
      <c r="K81" s="114"/>
      <c r="L81" s="93">
        <f t="shared" si="5"/>
        <v>298.0875548</v>
      </c>
    </row>
    <row r="82" ht="30.0" customHeight="1">
      <c r="A82" s="11">
        <v>76.0</v>
      </c>
      <c r="B82" s="13" t="s">
        <v>217</v>
      </c>
      <c r="C82" s="13" t="s">
        <v>93</v>
      </c>
      <c r="D82" s="30" t="s">
        <v>94</v>
      </c>
      <c r="E82" s="123"/>
      <c r="F82" s="14"/>
      <c r="G82" s="93">
        <v>175.0072033149121</v>
      </c>
      <c r="H82" s="105"/>
      <c r="I82" s="93">
        <f t="shared" si="1"/>
        <v>1.452559788</v>
      </c>
      <c r="J82" s="93">
        <f t="shared" si="2"/>
        <v>176.4597631</v>
      </c>
      <c r="K82" s="114"/>
      <c r="L82" s="93">
        <f t="shared" si="5"/>
        <v>176.4597631</v>
      </c>
    </row>
    <row r="83" ht="30.0" customHeight="1">
      <c r="A83" s="11">
        <v>77.0</v>
      </c>
      <c r="B83" s="104" t="s">
        <v>222</v>
      </c>
      <c r="C83" s="13"/>
      <c r="D83" s="30" t="s">
        <v>94</v>
      </c>
      <c r="E83" s="100">
        <v>46209.0</v>
      </c>
      <c r="F83" s="14"/>
      <c r="G83" s="93">
        <v>357.5391763680833</v>
      </c>
      <c r="H83" s="105">
        <v>20.0</v>
      </c>
      <c r="I83" s="93">
        <f t="shared" si="1"/>
        <v>2.967575164</v>
      </c>
      <c r="J83" s="93">
        <f t="shared" si="2"/>
        <v>380.5067515</v>
      </c>
      <c r="K83" s="114"/>
      <c r="L83" s="93">
        <f t="shared" si="5"/>
        <v>380.5067515</v>
      </c>
    </row>
    <row r="84" ht="30.0" customHeight="1">
      <c r="A84" s="11">
        <v>78.0</v>
      </c>
      <c r="B84" s="13" t="s">
        <v>220</v>
      </c>
      <c r="C84" s="13"/>
      <c r="D84" s="30" t="s">
        <v>94</v>
      </c>
      <c r="E84" s="100">
        <v>46213.0</v>
      </c>
      <c r="F84" s="14"/>
      <c r="G84" s="93">
        <v>102.00999159255497</v>
      </c>
      <c r="H84" s="105">
        <v>30.0</v>
      </c>
      <c r="I84" s="93">
        <f t="shared" si="1"/>
        <v>0.8466829302</v>
      </c>
      <c r="J84" s="93">
        <f t="shared" si="2"/>
        <v>132.8566745</v>
      </c>
      <c r="K84" s="114"/>
      <c r="L84" s="93">
        <f t="shared" si="5"/>
        <v>132.8566745</v>
      </c>
    </row>
    <row r="85" ht="30.0" customHeight="1">
      <c r="A85" s="11">
        <v>79.0</v>
      </c>
      <c r="B85" s="104" t="s">
        <v>223</v>
      </c>
      <c r="C85" s="13"/>
      <c r="D85" s="30" t="s">
        <v>94</v>
      </c>
      <c r="E85" s="123"/>
      <c r="F85" s="14"/>
      <c r="G85" s="93">
        <v>61.001522635739995</v>
      </c>
      <c r="H85" s="105"/>
      <c r="I85" s="93">
        <f t="shared" si="1"/>
        <v>0.5063126379</v>
      </c>
      <c r="J85" s="93">
        <f t="shared" si="2"/>
        <v>61.50783527</v>
      </c>
      <c r="K85" s="114"/>
      <c r="L85" s="93">
        <f t="shared" si="5"/>
        <v>61.50783527</v>
      </c>
    </row>
    <row r="86" ht="30.0" customHeight="1">
      <c r="A86" s="11">
        <v>80.0</v>
      </c>
      <c r="B86" s="104" t="s">
        <v>224</v>
      </c>
      <c r="C86" s="13"/>
      <c r="D86" s="30" t="s">
        <v>94</v>
      </c>
      <c r="E86" s="100">
        <v>46204.0</v>
      </c>
      <c r="F86" s="123"/>
      <c r="G86" s="93">
        <v>121.33282801787</v>
      </c>
      <c r="H86" s="105">
        <v>20.0</v>
      </c>
      <c r="I86" s="93">
        <f t="shared" si="1"/>
        <v>1.007062473</v>
      </c>
      <c r="J86" s="93">
        <f t="shared" si="2"/>
        <v>142.3398905</v>
      </c>
      <c r="K86" s="114"/>
      <c r="L86" s="93">
        <f t="shared" si="5"/>
        <v>142.3398905</v>
      </c>
    </row>
    <row r="87" ht="30.0" customHeight="1">
      <c r="A87" s="11">
        <v>81.0</v>
      </c>
      <c r="B87" s="13" t="s">
        <v>225</v>
      </c>
      <c r="C87" s="13"/>
      <c r="D87" s="30" t="s">
        <v>94</v>
      </c>
      <c r="E87" s="100">
        <v>46206.0</v>
      </c>
      <c r="F87" s="14"/>
      <c r="G87" s="93">
        <v>60.66710576787</v>
      </c>
      <c r="H87" s="105">
        <v>15.0</v>
      </c>
      <c r="I87" s="93">
        <f t="shared" si="1"/>
        <v>0.5035369779</v>
      </c>
      <c r="J87" s="93">
        <f t="shared" si="2"/>
        <v>76.17064275</v>
      </c>
      <c r="K87" s="114"/>
      <c r="L87" s="93">
        <f t="shared" si="5"/>
        <v>76.17064275</v>
      </c>
    </row>
    <row r="88" ht="30.0" customHeight="1">
      <c r="A88" s="11">
        <v>82.0</v>
      </c>
      <c r="B88" s="104" t="s">
        <v>226</v>
      </c>
      <c r="C88" s="13"/>
      <c r="D88" s="30" t="s">
        <v>94</v>
      </c>
      <c r="E88" s="123"/>
      <c r="F88" s="14"/>
      <c r="G88" s="93">
        <v>10.25107241787</v>
      </c>
      <c r="H88" s="105"/>
      <c r="I88" s="93">
        <f t="shared" si="1"/>
        <v>0.08508390107</v>
      </c>
      <c r="J88" s="93">
        <f t="shared" si="2"/>
        <v>10.33615632</v>
      </c>
      <c r="K88" s="114"/>
      <c r="L88" s="93">
        <f t="shared" si="5"/>
        <v>10.33615632</v>
      </c>
    </row>
    <row r="89" ht="30.0" customHeight="1">
      <c r="A89" s="11">
        <v>83.0</v>
      </c>
      <c r="B89" s="104" t="s">
        <v>227</v>
      </c>
      <c r="C89" s="13"/>
      <c r="D89" s="30" t="s">
        <v>94</v>
      </c>
      <c r="E89" s="100">
        <v>46213.0</v>
      </c>
      <c r="F89" s="14"/>
      <c r="G89" s="93">
        <v>40.500761317869994</v>
      </c>
      <c r="H89" s="105">
        <v>10.0</v>
      </c>
      <c r="I89" s="93">
        <f t="shared" si="1"/>
        <v>0.3361563189</v>
      </c>
      <c r="J89" s="93">
        <f t="shared" si="2"/>
        <v>50.83691764</v>
      </c>
      <c r="K89" s="114"/>
      <c r="L89" s="93">
        <f t="shared" si="5"/>
        <v>50.83691764</v>
      </c>
    </row>
    <row r="90" ht="30.0" customHeight="1">
      <c r="A90" s="11">
        <v>84.0</v>
      </c>
      <c r="B90" s="104" t="s">
        <v>228</v>
      </c>
      <c r="C90" s="13"/>
      <c r="D90" s="30" t="s">
        <v>94</v>
      </c>
      <c r="E90" s="100">
        <v>46216.0</v>
      </c>
      <c r="F90" s="14"/>
      <c r="G90" s="93">
        <v>81.00152263573999</v>
      </c>
      <c r="H90" s="105">
        <v>20.0</v>
      </c>
      <c r="I90" s="93">
        <f t="shared" si="1"/>
        <v>0.6723126379</v>
      </c>
      <c r="J90" s="93">
        <f t="shared" si="2"/>
        <v>101.6738353</v>
      </c>
      <c r="K90" s="114"/>
      <c r="L90" s="93">
        <f t="shared" si="5"/>
        <v>101.6738353</v>
      </c>
    </row>
    <row r="91" ht="30.0" customHeight="1">
      <c r="A91" s="11">
        <v>85.0</v>
      </c>
      <c r="B91" s="104" t="s">
        <v>229</v>
      </c>
      <c r="C91" s="13"/>
      <c r="D91" s="30" t="s">
        <v>94</v>
      </c>
      <c r="E91" s="123"/>
      <c r="F91" s="14"/>
      <c r="G91" s="93">
        <v>61.001522635739995</v>
      </c>
      <c r="H91" s="105"/>
      <c r="I91" s="93">
        <f t="shared" si="1"/>
        <v>0.5063126379</v>
      </c>
      <c r="J91" s="93">
        <f t="shared" si="2"/>
        <v>61.50783527</v>
      </c>
      <c r="K91" s="114"/>
      <c r="L91" s="93">
        <f t="shared" si="5"/>
        <v>61.50783527</v>
      </c>
    </row>
    <row r="92" ht="30.0" customHeight="1">
      <c r="A92" s="11">
        <v>86.0</v>
      </c>
      <c r="B92" s="104" t="s">
        <v>234</v>
      </c>
      <c r="C92" s="13"/>
      <c r="D92" s="30" t="s">
        <v>94</v>
      </c>
      <c r="E92" s="100">
        <v>46204.0</v>
      </c>
      <c r="F92" s="14"/>
      <c r="G92" s="93">
        <v>95.95760005000001</v>
      </c>
      <c r="H92" s="105">
        <v>25.0</v>
      </c>
      <c r="I92" s="93">
        <f t="shared" si="1"/>
        <v>0.7964480804</v>
      </c>
      <c r="J92" s="93">
        <f t="shared" si="2"/>
        <v>121.7540481</v>
      </c>
      <c r="K92" s="114"/>
      <c r="L92" s="93">
        <f t="shared" si="5"/>
        <v>121.7540481</v>
      </c>
    </row>
    <row r="93" ht="30.0" customHeight="1">
      <c r="A93" s="11">
        <v>87.0</v>
      </c>
      <c r="B93" s="104" t="s">
        <v>235</v>
      </c>
      <c r="C93" s="13"/>
      <c r="D93" s="30" t="s">
        <v>94</v>
      </c>
      <c r="E93" s="100">
        <v>46204.0</v>
      </c>
      <c r="F93" s="14"/>
      <c r="G93" s="93">
        <v>95.95760005000001</v>
      </c>
      <c r="H93" s="105">
        <v>25.0</v>
      </c>
      <c r="I93" s="93">
        <f t="shared" si="1"/>
        <v>0.7964480804</v>
      </c>
      <c r="J93" s="93">
        <f t="shared" si="2"/>
        <v>121.7540481</v>
      </c>
      <c r="K93" s="114"/>
      <c r="L93" s="93">
        <f t="shared" si="5"/>
        <v>121.7540481</v>
      </c>
    </row>
    <row r="94" ht="30.0" customHeight="1">
      <c r="A94" s="11">
        <v>88.0</v>
      </c>
      <c r="B94" s="104" t="s">
        <v>236</v>
      </c>
      <c r="C94" s="13"/>
      <c r="D94" s="30" t="s">
        <v>94</v>
      </c>
      <c r="E94" s="100">
        <v>46208.0</v>
      </c>
      <c r="F94" s="14"/>
      <c r="G94" s="93">
        <v>151.41582230000003</v>
      </c>
      <c r="H94" s="105">
        <v>50.0</v>
      </c>
      <c r="I94" s="93">
        <f t="shared" si="1"/>
        <v>1.256751325</v>
      </c>
      <c r="J94" s="93">
        <f t="shared" si="2"/>
        <v>202.6725736</v>
      </c>
      <c r="K94" s="114"/>
      <c r="L94" s="93">
        <f t="shared" si="5"/>
        <v>202.6725736</v>
      </c>
    </row>
    <row r="95" ht="30.0" customHeight="1">
      <c r="A95" s="11">
        <v>89.0</v>
      </c>
      <c r="B95" s="104" t="s">
        <v>237</v>
      </c>
      <c r="C95" s="13"/>
      <c r="D95" s="30" t="s">
        <v>94</v>
      </c>
      <c r="E95" s="100">
        <v>46205.0</v>
      </c>
      <c r="F95" s="14"/>
      <c r="G95" s="93">
        <v>111.08244450000001</v>
      </c>
      <c r="H95" s="105">
        <v>30.0</v>
      </c>
      <c r="I95" s="93">
        <f t="shared" si="1"/>
        <v>0.9219842894</v>
      </c>
      <c r="J95" s="93">
        <f t="shared" si="2"/>
        <v>142.0044288</v>
      </c>
      <c r="K95" s="114"/>
      <c r="L95" s="93">
        <f t="shared" si="5"/>
        <v>142.0044288</v>
      </c>
    </row>
    <row r="96" ht="30.0" customHeight="1">
      <c r="A96" s="11">
        <v>90.0</v>
      </c>
      <c r="B96" s="104" t="s">
        <v>238</v>
      </c>
      <c r="C96" s="13"/>
      <c r="D96" s="30" t="s">
        <v>94</v>
      </c>
      <c r="E96" s="123"/>
      <c r="F96" s="14"/>
      <c r="G96" s="93">
        <v>282.675189</v>
      </c>
      <c r="H96" s="105"/>
      <c r="I96" s="93">
        <f t="shared" si="1"/>
        <v>2.346204069</v>
      </c>
      <c r="J96" s="93">
        <f t="shared" si="2"/>
        <v>285.0213931</v>
      </c>
      <c r="K96" s="114"/>
      <c r="L96" s="93">
        <f t="shared" si="5"/>
        <v>285.0213931</v>
      </c>
    </row>
    <row r="97" ht="30.0" customHeight="1">
      <c r="A97" s="11">
        <v>91.0</v>
      </c>
      <c r="B97" s="104" t="s">
        <v>239</v>
      </c>
      <c r="C97" s="13"/>
      <c r="D97" s="30" t="s">
        <v>94</v>
      </c>
      <c r="E97" s="100">
        <v>46208.0</v>
      </c>
      <c r="F97" s="14"/>
      <c r="G97" s="93">
        <v>151.24844450000003</v>
      </c>
      <c r="H97" s="105">
        <v>50.0</v>
      </c>
      <c r="I97" s="93">
        <f t="shared" si="1"/>
        <v>1.255362089</v>
      </c>
      <c r="J97" s="93">
        <f t="shared" si="2"/>
        <v>202.5038066</v>
      </c>
      <c r="K97" s="114"/>
      <c r="L97" s="93">
        <f t="shared" si="5"/>
        <v>202.5038066</v>
      </c>
    </row>
    <row r="98" ht="30.0" customHeight="1">
      <c r="A98" s="11">
        <v>92.0</v>
      </c>
      <c r="B98" s="104" t="s">
        <v>240</v>
      </c>
      <c r="C98" s="13"/>
      <c r="D98" s="30" t="s">
        <v>94</v>
      </c>
      <c r="E98" s="123"/>
      <c r="F98" s="14"/>
      <c r="G98" s="93">
        <v>35.2911889</v>
      </c>
      <c r="H98" s="105"/>
      <c r="I98" s="93">
        <f t="shared" si="1"/>
        <v>0.2929168679</v>
      </c>
      <c r="J98" s="93">
        <f t="shared" si="2"/>
        <v>35.58410577</v>
      </c>
      <c r="K98" s="114"/>
      <c r="L98" s="93">
        <f t="shared" si="5"/>
        <v>35.58410577</v>
      </c>
    </row>
    <row r="99" ht="30.0" customHeight="1">
      <c r="A99" s="11">
        <v>93.0</v>
      </c>
      <c r="B99" s="104" t="s">
        <v>258</v>
      </c>
      <c r="C99" s="13"/>
      <c r="D99" s="30" t="s">
        <v>94</v>
      </c>
      <c r="E99" s="123"/>
      <c r="F99" s="14"/>
      <c r="G99" s="93">
        <v>10.0</v>
      </c>
      <c r="H99" s="105"/>
      <c r="I99" s="93">
        <f t="shared" si="1"/>
        <v>0.083</v>
      </c>
      <c r="J99" s="93">
        <f t="shared" si="2"/>
        <v>10.083</v>
      </c>
      <c r="K99" s="114"/>
      <c r="L99" s="93">
        <f t="shared" si="5"/>
        <v>10.083</v>
      </c>
    </row>
    <row r="100" ht="30.0" customHeight="1">
      <c r="A100" s="11">
        <v>94.0</v>
      </c>
      <c r="B100" s="104" t="s">
        <v>259</v>
      </c>
      <c r="C100" s="13"/>
      <c r="D100" s="30" t="s">
        <v>94</v>
      </c>
      <c r="E100" s="100">
        <v>46209.0</v>
      </c>
      <c r="F100" s="14"/>
      <c r="G100" s="93"/>
      <c r="H100" s="105">
        <v>10.0</v>
      </c>
      <c r="I100" s="93">
        <f t="shared" si="1"/>
        <v>0</v>
      </c>
      <c r="J100" s="93">
        <f t="shared" si="2"/>
        <v>10</v>
      </c>
      <c r="K100" s="114"/>
      <c r="L100" s="93">
        <f t="shared" si="5"/>
        <v>10</v>
      </c>
    </row>
    <row r="101" ht="30.0" customHeight="1">
      <c r="A101" s="11"/>
      <c r="B101" s="104"/>
      <c r="C101" s="13"/>
      <c r="D101" s="30"/>
      <c r="E101" s="100"/>
      <c r="F101" s="14"/>
      <c r="G101" s="93"/>
      <c r="H101" s="105"/>
      <c r="I101" s="93">
        <f t="shared" si="1"/>
        <v>0</v>
      </c>
      <c r="J101" s="93">
        <f t="shared" si="2"/>
        <v>0</v>
      </c>
      <c r="K101" s="114"/>
      <c r="L101" s="93">
        <f t="shared" si="5"/>
        <v>0</v>
      </c>
    </row>
    <row r="102" ht="15.0" customHeight="1">
      <c r="A102" s="17"/>
      <c r="B102" s="13"/>
      <c r="C102" s="13"/>
      <c r="D102" s="13"/>
      <c r="E102" s="13"/>
      <c r="F102" s="13"/>
      <c r="G102" s="55">
        <f t="shared" ref="G102:L102" si="6">SUM(G7:G101)</f>
        <v>79373.88062</v>
      </c>
      <c r="H102" s="55">
        <f t="shared" si="6"/>
        <v>1809.85</v>
      </c>
      <c r="I102" s="55">
        <f t="shared" si="6"/>
        <v>658.8032092</v>
      </c>
      <c r="J102" s="55">
        <f t="shared" si="6"/>
        <v>81842.53383</v>
      </c>
      <c r="K102" s="55">
        <f t="shared" si="6"/>
        <v>578.9</v>
      </c>
      <c r="L102" s="55">
        <f t="shared" si="6"/>
        <v>81263.62943</v>
      </c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6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21"/>
      <c r="L104" s="4"/>
    </row>
    <row r="105" ht="15.75" customHeight="1"/>
    <row r="106" ht="15.75" customHeight="1"/>
    <row r="107" ht="15.75" customHeight="1"/>
    <row r="108" ht="15.75" customHeight="1">
      <c r="H108" s="107"/>
    </row>
    <row r="109" ht="15.75" customHeight="1">
      <c r="H109" s="107"/>
    </row>
    <row r="110" ht="15.75" customHeight="1">
      <c r="H110" s="107"/>
    </row>
    <row r="111" ht="15.75" customHeight="1">
      <c r="H111" s="107"/>
    </row>
    <row r="112" ht="15.75" customHeight="1">
      <c r="H112" s="107"/>
    </row>
    <row r="113" ht="15.75" customHeight="1">
      <c r="H113" s="107"/>
    </row>
    <row r="114" ht="15.75" customHeight="1">
      <c r="H114" s="107"/>
    </row>
    <row r="115" ht="15.75" customHeight="1">
      <c r="H115" s="107"/>
    </row>
    <row r="116" ht="15.75" customHeight="1">
      <c r="H116" s="107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</sheetData>
  <autoFilter ref="$A$6:$L$102"/>
  <mergeCells count="5">
    <mergeCell ref="A1:L1"/>
    <mergeCell ref="A2:L2"/>
    <mergeCell ref="A3:L3"/>
    <mergeCell ref="A4:L4"/>
    <mergeCell ref="A5:L5"/>
  </mergeCells>
  <printOptions/>
  <pageMargins bottom="0.75" footer="0.0" header="0.0" left="0.7" right="0.7" top="0.75"/>
  <pageSetup orientation="portrait"/>
  <colBreaks count="1" manualBreakCount="1">
    <brk id="12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2016-09-25T18:10:11Z</dcterms:created>
  <dc:creator>Fahim</dc:creator>
</cp:coreProperties>
</file>